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Downloads\maps for lfl\Map Data\Map Data\"/>
    </mc:Choice>
  </mc:AlternateContent>
  <xr:revisionPtr revIDLastSave="391" documentId="8_{8C1DEA27-A3BE-4C77-889D-10CD73DD9731}" xr6:coauthVersionLast="47" xr6:coauthVersionMax="47" xr10:uidLastSave="{AECA15A1-A6CD-4EF2-9612-785510325204}"/>
  <bookViews>
    <workbookView xWindow="-120" yWindow="-120" windowWidth="51840" windowHeight="21120" activeTab="1" xr2:uid="{571F006E-D1E4-449E-9036-E544E7F74E58}"/>
  </bookViews>
  <sheets>
    <sheet name="Sheet2" sheetId="15" r:id="rId1"/>
    <sheet name="Data Sheet" sheetId="13" r:id="rId2"/>
  </sheets>
  <definedNames>
    <definedName name="_xlnm._FilterDatabase" localSheetId="1" hidden="1">'Data Sheet'!$A$1:$R$163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3" l="1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H71" i="13"/>
  <c r="H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T43" i="13" l="1"/>
</calcChain>
</file>

<file path=xl/sharedStrings.xml><?xml version="1.0" encoding="utf-8"?>
<sst xmlns="http://schemas.openxmlformats.org/spreadsheetml/2006/main" count="1732" uniqueCount="410">
  <si>
    <t>Shared</t>
  </si>
  <si>
    <t>North West</t>
  </si>
  <si>
    <t>Yorkshire</t>
  </si>
  <si>
    <t>Midlands</t>
  </si>
  <si>
    <t>South East</t>
  </si>
  <si>
    <t>South West</t>
  </si>
  <si>
    <t>Address</t>
  </si>
  <si>
    <t>Local Authority</t>
  </si>
  <si>
    <t>Region</t>
  </si>
  <si>
    <t>Count</t>
  </si>
  <si>
    <t>Tenant Name</t>
  </si>
  <si>
    <t>Status</t>
  </si>
  <si>
    <t>Move In</t>
  </si>
  <si>
    <t>Move Out</t>
  </si>
  <si>
    <t>Move on reason</t>
  </si>
  <si>
    <t>35 Pole Lane, Darwen, BB3 3LD</t>
  </si>
  <si>
    <t>Blackburn with Darwen</t>
  </si>
  <si>
    <t>Active</t>
  </si>
  <si>
    <t>34 Blakehill Terrace, Bradford, BD2 3JS</t>
  </si>
  <si>
    <t>Bradford</t>
  </si>
  <si>
    <t>16 Loweswater Avenue, Bradford, BD6 2TZ</t>
  </si>
  <si>
    <t>9 Clevedon Close, Macclesfield, Cheshire, SK11 8LS</t>
  </si>
  <si>
    <t>Cheshire East</t>
  </si>
  <si>
    <t>Cheshire West and Chester</t>
  </si>
  <si>
    <t>Flat 2, 12 Phillip Street, Hoole, Cheshire, CH2 3BY</t>
  </si>
  <si>
    <t>2 Redwood Drive, Ellesmere Port, Cheshire, CH66 2YA</t>
  </si>
  <si>
    <t>Flat B, 8 Gresford Avenue, Hoole, Chester, Cheshire, CH2 3QA</t>
  </si>
  <si>
    <t>Flat 1, 12 Phillip Street, Hoole, Cheshire, CH2 3BY</t>
  </si>
  <si>
    <t>15 Oakfield Road, Blacon, Chester, CH1 5AG</t>
  </si>
  <si>
    <t>Flat A, 8 Gresford Avenue, Hoole, Chester, Cheshire, CH2 3QA</t>
  </si>
  <si>
    <t>175 Stanney Lane, Ellesmere Port, Cheshire, CH65 9AN</t>
  </si>
  <si>
    <t>Fylde</t>
  </si>
  <si>
    <t>8 Milton Close, Prescot, Knowsley, L35 2YQ</t>
  </si>
  <si>
    <t>Knowsley</t>
  </si>
  <si>
    <t>Leeds</t>
  </si>
  <si>
    <t>Flat 9, 157 Harrison Road, Leicester, LE4 6NP</t>
  </si>
  <si>
    <t>Leicester</t>
  </si>
  <si>
    <t>Flat 3, 157 Harrison Road, Leicester, LE4 6NP</t>
  </si>
  <si>
    <t>Flat 6, 157 Harrison Road, Leicester, LE4 6NP</t>
  </si>
  <si>
    <t>Flat 4, 157 Harrison Road, Leicester, LE4 6NP</t>
  </si>
  <si>
    <t>Flat 1, 157 Harrison Road, Leicester (Shared), LE4 6NP</t>
  </si>
  <si>
    <t>Flat 8, 157 Harrison Road, Leicester, LE4 6NP</t>
  </si>
  <si>
    <t>Flat 7, 157 Harrison Road, Leicester, LE4 6NP</t>
  </si>
  <si>
    <t>Flat 5, 157 Harrison Road, Leicester, LE4 6NP</t>
  </si>
  <si>
    <t>196 Arundel Road, Peacehaven, East Sussex, BN10 8HY</t>
  </si>
  <si>
    <t>Lewes</t>
  </si>
  <si>
    <t>Flat 4, 2a Rockville Park, Plymouth, PL9 7DG</t>
  </si>
  <si>
    <t>Plymouth</t>
  </si>
  <si>
    <t>Flat 8, 2a Rockville Park, Plymouth, PL9 7DG</t>
  </si>
  <si>
    <t>Flat 1, 2a Rockville Park, Plymouth, PL9 7DG</t>
  </si>
  <si>
    <t>Flat 9, 2a Rockville Park, Plymouth, PL9 7DG</t>
  </si>
  <si>
    <t>Flat 3, 2a Rockville Park, Plymouth, PL9 7DG</t>
  </si>
  <si>
    <t>Flat 6, 2a Rockville Park, Plymouth, PL9 7DG</t>
  </si>
  <si>
    <t>Flat 2, 2a Rockville Park, Plymouth, PL9 7DG</t>
  </si>
  <si>
    <t>Flat 10, 2a Rockville Park, Plymouth, PL9 7DG</t>
  </si>
  <si>
    <t>Flat 5, 2a Rockville Park, Plymouth, PL9 7DG</t>
  </si>
  <si>
    <t>146 Tavistock Road, Plymouth, PL6 5EJ</t>
  </si>
  <si>
    <t>30 Duncombe Avenue, Plymouth, PL5 2JS</t>
  </si>
  <si>
    <t>Apartment 38, The Dale, Sheffield, S8 0PW</t>
  </si>
  <si>
    <t>Sheffield</t>
  </si>
  <si>
    <t>383 Foxhill Road, Sheffield, S6 1BG</t>
  </si>
  <si>
    <t>1a Foxhill Place, Sheffield, S6 1GE</t>
  </si>
  <si>
    <t>55 Halifax Road, Sheffield, S35 8PA</t>
  </si>
  <si>
    <t>51 Longley Crescent, Sheffield, S5 7NZ</t>
  </si>
  <si>
    <t>9 Hill Top Rise, Grenoside, Sheffield, S35 8PD</t>
  </si>
  <si>
    <t>Void</t>
  </si>
  <si>
    <t>51 Dowland Avenue, High Green, Sheffield, S35 4DE</t>
  </si>
  <si>
    <t>Staffordshire</t>
  </si>
  <si>
    <t>2 Gloucester Road, Heald Green, Cheadle, Stockport, SK8 3NB</t>
  </si>
  <si>
    <t>Stockport</t>
  </si>
  <si>
    <t>25 Outwood Road, Heald Green, Cheadle, Stockport, SK8 3LZ</t>
  </si>
  <si>
    <t>5 The Old Vicarage, 43 Fore Street, Kingskerswell, Newton Abbot, TQ12 5FG</t>
  </si>
  <si>
    <t>Teignbridge</t>
  </si>
  <si>
    <t>3 The Old Vicarage, 43 Fore Street, Kingskerswell, Newton Abbot, TQ12 5FG</t>
  </si>
  <si>
    <t>1 The Old Vicarage, 43 Fore Street, Kingskerswell, Newton Abbot, TQ12 5FG</t>
  </si>
  <si>
    <t>9 The Old Vicarage, 43 Fore Street, Kingskerswell, Newton Abbot, TQ12 5FG</t>
  </si>
  <si>
    <t>8 The Old Vicarage, 43 Fore Street, Kingskerswell, Newton Abbot, TQ12 5FG</t>
  </si>
  <si>
    <t>4 The Old Vicarage, 43 Fore Street, Kingskerswell, Newton Abbot, TQ12 5FG</t>
  </si>
  <si>
    <t>7 The Old Vicarage, 43 Fore Street, Kingskerswell, Newton Abbot, TQ12 5FG</t>
  </si>
  <si>
    <t>2 The Old Vicarage, 43 Fore Street, Kingskerswell, Newton Abbot, TQ12 5FG</t>
  </si>
  <si>
    <t>6 The Old Vicarage, 43 Fore Street, Kingskerswell, Newton Abbot, TQ12 5FG</t>
  </si>
  <si>
    <t>1 Garden Cottages, Little Paddocks, The Street, Little Clacton, Clacton-On-Sea, CO16 9LG</t>
  </si>
  <si>
    <t>Tendring</t>
  </si>
  <si>
    <t>3 Garden Cottages, Little Paddocks, The Street, Little Clacton, Clacton-On-Sea, CO16 9LG</t>
  </si>
  <si>
    <t>2 Garden Cottages, Little Paddocks, The Street, Little Clacton, Clacton-On-Sea, CO16 9LG</t>
  </si>
  <si>
    <t>31 Orchard Drive, Great Holland, Frinton On Sea, Essex, CO13 0SB</t>
  </si>
  <si>
    <t>Torbay</t>
  </si>
  <si>
    <t>5 Newton Place, 32 Newton Road, Torquay, TQ2 5DF</t>
  </si>
  <si>
    <t>9 Newton Place, 32 Newton Road, Torquay, TQ2 5DF</t>
  </si>
  <si>
    <t>7 Newton Place, 32 Newton Road, Torquay, TQ2 5DF</t>
  </si>
  <si>
    <t>4 Newton Place, 32 Newton Road, Torquay, TQ2 5DF</t>
  </si>
  <si>
    <t>10 Newton Place, 32 Newton Road, Torquay, TQ2 5DF</t>
  </si>
  <si>
    <t>2 Newton Place, 32 Newton Road, Torquay, TQ2 5DF</t>
  </si>
  <si>
    <t>6 Newton Place, 32 Newton Road, Torquay, TQ2 5DF</t>
  </si>
  <si>
    <t>3 Newton Place, 32 Newton Road, Torquay, TQ2 5DF</t>
  </si>
  <si>
    <t>1 Newton Place, 32 Newton Road, Torquay, TQ2 5DF</t>
  </si>
  <si>
    <t>8 Newton Place, 32 Newton Road, Torquay, TQ2 5DF</t>
  </si>
  <si>
    <t>32 Reddenhill Road, Torquay, TQ1 3RQ</t>
  </si>
  <si>
    <t>Trafford</t>
  </si>
  <si>
    <t>Flat 2, 133 Marsland Road, Sale, M33 3NW</t>
  </si>
  <si>
    <t>Heathmoor Tan House Lane, Burtonwood, Warrington, WA5 4BY</t>
  </si>
  <si>
    <t>Warrington</t>
  </si>
  <si>
    <t>4 Arlington Drive, Wigan, WN7 3QN</t>
  </si>
  <si>
    <t>Wigan</t>
  </si>
  <si>
    <t>32 Elnup Avenue, Shevington, Wigan, WN6 8AT</t>
  </si>
  <si>
    <t>Tenancy Type</t>
  </si>
  <si>
    <t>Single</t>
  </si>
  <si>
    <t>Property Type</t>
  </si>
  <si>
    <t>Joint</t>
  </si>
  <si>
    <t>Bungalow</t>
  </si>
  <si>
    <t>House</t>
  </si>
  <si>
    <t>Flat</t>
  </si>
  <si>
    <t>23 Wellswood Road, Ellesmere Port, CH66 1JX</t>
  </si>
  <si>
    <t>45 Swarcliffe Avenue, Leeds, LS14 5LF</t>
  </si>
  <si>
    <t>42 Spring Lane, 8 Ash Green, Forsham Heath, Colchester, CO3 9TH</t>
  </si>
  <si>
    <t>Flat 4, Bradshaw House, 21 Lawton Street, Congleton, CW12 1LB</t>
  </si>
  <si>
    <t>Flat 2, Bradshaw House, 21 Lawton Street, Congleton, CW12 1LB</t>
  </si>
  <si>
    <t>Flat 6, Bradshaw House, 21 Lawton Street, Congleton, CW12 1LB</t>
  </si>
  <si>
    <t>23a Lessingham Road, Widnes, WA8 9FU</t>
  </si>
  <si>
    <t>29 Cranberry Avenue, Wigan, WN6 7RR</t>
  </si>
  <si>
    <t>8 Avon Drive, Crewe, CW1 5NJ</t>
  </si>
  <si>
    <t>Colchester</t>
  </si>
  <si>
    <t>Halton</t>
  </si>
  <si>
    <t>Model</t>
  </si>
  <si>
    <t>Lease</t>
  </si>
  <si>
    <t>Owned</t>
  </si>
  <si>
    <t>Managed by</t>
  </si>
  <si>
    <t>Lets for Life</t>
  </si>
  <si>
    <t>Ling Trust</t>
  </si>
  <si>
    <t>Lease End Date</t>
  </si>
  <si>
    <t>43 Longhouse Lane, Denholme, Bradford, BD13 4NQ</t>
  </si>
  <si>
    <t>N/A</t>
  </si>
  <si>
    <t>Core Rent</t>
  </si>
  <si>
    <t>Service Charges</t>
  </si>
  <si>
    <t>Gross Total Rent</t>
  </si>
  <si>
    <t>20 Grassington Road, Lytham St Annes, Lancashire, FY8 3QE</t>
  </si>
  <si>
    <t>3 Durban Crescent, Leeds, LS11 8AD</t>
  </si>
  <si>
    <t>8 Willow Drive, Leek, Staffordshire, ST13 7FF</t>
  </si>
  <si>
    <t>5 Roseway, Stockport, SK7 3BQ</t>
  </si>
  <si>
    <t>20 Rowan Avenue, Beech Hill, WN6 7RS</t>
  </si>
  <si>
    <t>71a Bradford Road, Keighley, BD21 4HA</t>
  </si>
  <si>
    <t>2a Brearcliffe Street, Bradford, BD6 2LD</t>
  </si>
  <si>
    <t>25 The Highway, Peacehaven. BN10 8XL</t>
  </si>
  <si>
    <t>33 Marlowe Close, Pudsey, LS28 9NT</t>
  </si>
  <si>
    <t>11 Heather Gardens, Leeds, LS13 4LF</t>
  </si>
  <si>
    <t>71b Bradford Road, Keighley, BD21 4HA</t>
  </si>
  <si>
    <t>49 Kennerleigh Crescent, Leeds, LS15 8RS</t>
  </si>
  <si>
    <t>28 Platt Ave, Sandbach, CW11 1DE</t>
  </si>
  <si>
    <t>71c Bradford Road, Keighley, BD21 4HA</t>
  </si>
  <si>
    <t>Flat 3, 330 Newman Road, Sheffield, S9 1LX</t>
  </si>
  <si>
    <t>Flat 8, 330 Newman Road, Sheffield, S9 1LX</t>
  </si>
  <si>
    <t>Flat 5, Bradshaw House, 21 Lawton Street, Congleton, CW12 1LB</t>
  </si>
  <si>
    <t>Flat 5, 330 Newman Road, Sheffield, S9 1LX</t>
  </si>
  <si>
    <t>Flat 1, Bradshaw House, 21 Lawton Street, Congleton, CW12 1LB</t>
  </si>
  <si>
    <t>6 Gipsy Lane, Lingwell Rise, Leeds LS11 5TP</t>
  </si>
  <si>
    <t>8 Haigh Side Close, Rothwell, Leeds, LS26 0UH</t>
  </si>
  <si>
    <t>Flat 4, 330 Newman Road, Sheffield, S9 1LX</t>
  </si>
  <si>
    <t>Flat 6, 330 Newman Road, Sheffield, S9 1LX</t>
  </si>
  <si>
    <t>4 Gipsy Lane, Lingwell Rise, Leeds LS11 5TP</t>
  </si>
  <si>
    <t>1 Starling Close, Runcorn, WA7 6EU</t>
  </si>
  <si>
    <t>17/08/2030</t>
  </si>
  <si>
    <t>1 Alexander House Bolton Road, Bradford West Yorkshire BD1 4DR</t>
  </si>
  <si>
    <t>4 Alexander House Bolton Road, Bradford West Yorkshire BD1 4DR</t>
  </si>
  <si>
    <t>9 Alexander House Bolton Road, Bradford West Yorkshire BD1 4DR</t>
  </si>
  <si>
    <t>52 Oakdale Drive, Bradford, BD10 0JF</t>
  </si>
  <si>
    <t>23 Sandby Drive, Sheffield, S14 1DF</t>
  </si>
  <si>
    <t>14 Millbeck Approach, Morley, Leeds, LS27 8WA</t>
  </si>
  <si>
    <t>30/09/2025</t>
  </si>
  <si>
    <t>2 Gipsy Lane, Lingwell Rise, Leeds LS11 5TP</t>
  </si>
  <si>
    <t>56 Moorland Avenue, Baildon, Shipley, BD17 6RW</t>
  </si>
  <si>
    <t>32 Park Spring Gardens, Leeds LS13 4DT</t>
  </si>
  <si>
    <t>Flat 2, 330 Newman Road, Sheffield, S9 1LX</t>
  </si>
  <si>
    <t>Flat 4, Bronshill Court, Bronshill Road, Torquay, TQ1 3HD</t>
  </si>
  <si>
    <t>Flat 5, Bronshill Court, Bronshill Road, Torquay, TQ1 3HD</t>
  </si>
  <si>
    <t>Flat 8, Bronshill Court, Bronshill Road, Torquay, TQ1 3HD</t>
  </si>
  <si>
    <t>33 Brockhill Close Kettering NN157DS</t>
  </si>
  <si>
    <t>26 Orchard Road, Finedon NN9 5JG</t>
  </si>
  <si>
    <t>North Northamptonshire</t>
  </si>
  <si>
    <t>East Midlands</t>
  </si>
  <si>
    <t>Flat 2, Bronshill Court, Bronshill Road, Torquay, TQ1 3HD</t>
  </si>
  <si>
    <t>222 High Street, Winsford,  CW7 2AU</t>
  </si>
  <si>
    <t>74 Heyes Road, Widnes, Halton, WA8 8QU</t>
  </si>
  <si>
    <t>49 Broadlands Ave, Sheffield, S20 6RL</t>
  </si>
  <si>
    <t>Flat 7, Bronshill Court, Bronshill Road, Torquay, TQ1 3HD</t>
  </si>
  <si>
    <t>Gipsy Lane, Lingwell Rise, Leeds LS11 5TP</t>
  </si>
  <si>
    <t>18 Oak Road, Garforth, Leeds LS25 1PF</t>
  </si>
  <si>
    <t>9 Amberley Close, Wigan, WN2 1AR</t>
  </si>
  <si>
    <t>127 Fenby Avenue, Dudley Hill, Bradford, BD4 9LJ</t>
  </si>
  <si>
    <t>Stockton-on-Tees</t>
  </si>
  <si>
    <t>15 Halliday Drive, Leeds, LS12 3PA</t>
  </si>
  <si>
    <t>Flat 3, Bradshaw House, 21 Lawton Street, Congleton, CW12 1LB</t>
  </si>
  <si>
    <t>21 Castle Road, Keighley, Bradford, BD21 2ST</t>
  </si>
  <si>
    <t>14 Alexandra St, Burton Latimer, Kettering, NN15 5SE</t>
  </si>
  <si>
    <t>Flat 1, 330 Newman Road, Sheffield, S9 1LX</t>
  </si>
  <si>
    <t>1 Cranstock Close, Billingham, Stockton, TS22 5RS</t>
  </si>
  <si>
    <t>78 Coleridge Way, Crewe, Cheshire, CW1 5LE</t>
  </si>
  <si>
    <t>59 Avenue Clamart, Scunthorpe, DN15 8EQ</t>
  </si>
  <si>
    <t>North Lincolnshire</t>
  </si>
  <si>
    <t>2 Rockville Place, Plymouth, PL9 7DG</t>
  </si>
  <si>
    <t>Postcode</t>
  </si>
  <si>
    <t>BD21 2ST</t>
  </si>
  <si>
    <t>BD13 4NQ</t>
  </si>
  <si>
    <t>BD10 0JF</t>
  </si>
  <si>
    <t>BD17 6RW</t>
  </si>
  <si>
    <t>BD21 4HA</t>
  </si>
  <si>
    <t>CW11 1DE</t>
  </si>
  <si>
    <t>SK11 8LS</t>
  </si>
  <si>
    <t>CW12 1LB</t>
  </si>
  <si>
    <t>CH65 9AN</t>
  </si>
  <si>
    <t>CH66 2YA</t>
  </si>
  <si>
    <t>CH66 1JX</t>
  </si>
  <si>
    <t>LS13 4LF</t>
  </si>
  <si>
    <t>LS27 8WA</t>
  </si>
  <si>
    <t>LS12 3PA</t>
  </si>
  <si>
    <t>LS25 1PF</t>
  </si>
  <si>
    <t>LS11 5TP</t>
  </si>
  <si>
    <t>LS11 8AD</t>
  </si>
  <si>
    <t>LS13 4DT</t>
  </si>
  <si>
    <t>LS28 9NT</t>
  </si>
  <si>
    <t>LS14 5LF</t>
  </si>
  <si>
    <t>LS15 8RS</t>
  </si>
  <si>
    <t>LS26 0UH</t>
  </si>
  <si>
    <t>BN10 8HY</t>
  </si>
  <si>
    <t>BN10 8XL</t>
  </si>
  <si>
    <t>NN15 5SE</t>
  </si>
  <si>
    <t>ST13 7FF</t>
  </si>
  <si>
    <t>TS22 5RS</t>
  </si>
  <si>
    <t>TQ12 5FG</t>
  </si>
  <si>
    <t>CO16 9LG</t>
  </si>
  <si>
    <t>CO13 0SB</t>
  </si>
  <si>
    <t>DN15 8EQ</t>
  </si>
  <si>
    <t>BB3 3LD</t>
  </si>
  <si>
    <t>S6 1BG</t>
  </si>
  <si>
    <t>S6 1GE</t>
  </si>
  <si>
    <t>S8 0PW</t>
  </si>
  <si>
    <t>S5 7NZ</t>
  </si>
  <si>
    <t>S9 1LX</t>
  </si>
  <si>
    <t>SK6 3ED</t>
  </si>
  <si>
    <t>5 Omerod Close, Stockport, SK6 3ED</t>
  </si>
  <si>
    <t>BD1 4DR</t>
  </si>
  <si>
    <t>BD4 9LJ</t>
  </si>
  <si>
    <t>BD6 2TZ</t>
  </si>
  <si>
    <t>BD6 2LD</t>
  </si>
  <si>
    <t>BD2 3JS</t>
  </si>
  <si>
    <t>CW1 5NJ</t>
  </si>
  <si>
    <t>CH1 5AG</t>
  </si>
  <si>
    <t>CW7 2AU</t>
  </si>
  <si>
    <t>CH2 3QA</t>
  </si>
  <si>
    <t>Row Labels</t>
  </si>
  <si>
    <t>Grand Total</t>
  </si>
  <si>
    <t>Sum of Count</t>
  </si>
  <si>
    <t>(Multiple Items)</t>
  </si>
  <si>
    <t>CH2 3BY</t>
  </si>
  <si>
    <t>CO3 9TH</t>
  </si>
  <si>
    <t>FY8 3QE</t>
  </si>
  <si>
    <t>WA7 6EU</t>
  </si>
  <si>
    <t>WA8 9FU</t>
  </si>
  <si>
    <t>WA8 8QU</t>
  </si>
  <si>
    <t>L35 2YQ</t>
  </si>
  <si>
    <t>LE4 6NP</t>
  </si>
  <si>
    <t>NN9 5JG</t>
  </si>
  <si>
    <t>NN157DS</t>
  </si>
  <si>
    <t>PL9 7DG</t>
  </si>
  <si>
    <t>PL6 5EJ</t>
  </si>
  <si>
    <t>PL5 2JS</t>
  </si>
  <si>
    <t>S14 1DF</t>
  </si>
  <si>
    <t>S20 6RL</t>
  </si>
  <si>
    <t>S35 4DE</t>
  </si>
  <si>
    <t>S35 8PA</t>
  </si>
  <si>
    <t>S35 8PD</t>
  </si>
  <si>
    <t>SK8 3LZ</t>
  </si>
  <si>
    <t>SK8 3NB</t>
  </si>
  <si>
    <t>SK7 3BQ</t>
  </si>
  <si>
    <t>TQ2 5DF</t>
  </si>
  <si>
    <t>TQ1 3RQ</t>
  </si>
  <si>
    <t>TQ1 3HD</t>
  </si>
  <si>
    <t>M33 3NW</t>
  </si>
  <si>
    <t>WA5 4BY</t>
  </si>
  <si>
    <t>WN6 7RS</t>
  </si>
  <si>
    <t>WN6 7RR</t>
  </si>
  <si>
    <t>WN6 8AT</t>
  </si>
  <si>
    <t>WN7 3QN</t>
  </si>
  <si>
    <t>WN2 1AR</t>
  </si>
  <si>
    <t>CW1 5LE</t>
  </si>
  <si>
    <t>PL5 3SX</t>
  </si>
  <si>
    <t>70 Old Woodlands Road, Crownhill, Plymouth, PL5 3SX</t>
  </si>
  <si>
    <t>AG</t>
  </si>
  <si>
    <t>LL</t>
  </si>
  <si>
    <t>IH</t>
  </si>
  <si>
    <t>DA</t>
  </si>
  <si>
    <t>DM</t>
  </si>
  <si>
    <t>OS</t>
  </si>
  <si>
    <t>KG</t>
  </si>
  <si>
    <t>DG</t>
  </si>
  <si>
    <t>ST</t>
  </si>
  <si>
    <t>DH</t>
  </si>
  <si>
    <t>RA</t>
  </si>
  <si>
    <t>MW</t>
  </si>
  <si>
    <t>BS</t>
  </si>
  <si>
    <t>BJ</t>
  </si>
  <si>
    <t>AD</t>
  </si>
  <si>
    <t>MH</t>
  </si>
  <si>
    <t>MS</t>
  </si>
  <si>
    <t>HA</t>
  </si>
  <si>
    <t xml:space="preserve">AS </t>
  </si>
  <si>
    <t>MB</t>
  </si>
  <si>
    <t>EL</t>
  </si>
  <si>
    <t>AH</t>
  </si>
  <si>
    <t>LB</t>
  </si>
  <si>
    <t>EJC</t>
  </si>
  <si>
    <t>CT</t>
  </si>
  <si>
    <t>TD</t>
  </si>
  <si>
    <t>AB</t>
  </si>
  <si>
    <t>RH</t>
  </si>
  <si>
    <t>SD</t>
  </si>
  <si>
    <t>MM</t>
  </si>
  <si>
    <t>BD</t>
  </si>
  <si>
    <t>AA</t>
  </si>
  <si>
    <t>RL</t>
  </si>
  <si>
    <t>JL</t>
  </si>
  <si>
    <t>SB</t>
  </si>
  <si>
    <t>MF</t>
  </si>
  <si>
    <t>DJ</t>
  </si>
  <si>
    <t>RG</t>
  </si>
  <si>
    <t>JM</t>
  </si>
  <si>
    <t>KD</t>
  </si>
  <si>
    <t>MA</t>
  </si>
  <si>
    <t>FB</t>
  </si>
  <si>
    <t>BG</t>
  </si>
  <si>
    <t xml:space="preserve">LO </t>
  </si>
  <si>
    <t>AM</t>
  </si>
  <si>
    <t>SJW</t>
  </si>
  <si>
    <t>RW</t>
  </si>
  <si>
    <t>IA</t>
  </si>
  <si>
    <t>MC</t>
  </si>
  <si>
    <t>DY</t>
  </si>
  <si>
    <t>CW</t>
  </si>
  <si>
    <t>KF</t>
  </si>
  <si>
    <t>JK</t>
  </si>
  <si>
    <t>JB</t>
  </si>
  <si>
    <t>TB</t>
  </si>
  <si>
    <t>GD</t>
  </si>
  <si>
    <t>RB</t>
  </si>
  <si>
    <t>AR</t>
  </si>
  <si>
    <t>TH</t>
  </si>
  <si>
    <t>RM</t>
  </si>
  <si>
    <t>HC</t>
  </si>
  <si>
    <t>JW</t>
  </si>
  <si>
    <t>JJ</t>
  </si>
  <si>
    <t>TA</t>
  </si>
  <si>
    <t>JP</t>
  </si>
  <si>
    <t>SL</t>
  </si>
  <si>
    <t>SK</t>
  </si>
  <si>
    <t>NM</t>
  </si>
  <si>
    <t>LM</t>
  </si>
  <si>
    <t>PJR</t>
  </si>
  <si>
    <t>HY</t>
  </si>
  <si>
    <t>MG</t>
  </si>
  <si>
    <t>HM</t>
  </si>
  <si>
    <t>JF</t>
  </si>
  <si>
    <t>TG</t>
  </si>
  <si>
    <t>DC</t>
  </si>
  <si>
    <t>KB</t>
  </si>
  <si>
    <t>GR</t>
  </si>
  <si>
    <t>CL</t>
  </si>
  <si>
    <t>RP</t>
  </si>
  <si>
    <t>ZC</t>
  </si>
  <si>
    <t>KH</t>
  </si>
  <si>
    <t>SP</t>
  </si>
  <si>
    <t>SA</t>
  </si>
  <si>
    <t>EF</t>
  </si>
  <si>
    <t xml:space="preserve">AL </t>
  </si>
  <si>
    <t>AHK</t>
  </si>
  <si>
    <t>CD</t>
  </si>
  <si>
    <t>ES</t>
  </si>
  <si>
    <t>GC</t>
  </si>
  <si>
    <t>DS</t>
  </si>
  <si>
    <t>DW</t>
  </si>
  <si>
    <t>SG</t>
  </si>
  <si>
    <t>CB</t>
  </si>
  <si>
    <t>NW</t>
  </si>
  <si>
    <t xml:space="preserve">CH </t>
  </si>
  <si>
    <t>KJ</t>
  </si>
  <si>
    <t xml:space="preserve">ST </t>
  </si>
  <si>
    <t>PD</t>
  </si>
  <si>
    <t>DB</t>
  </si>
  <si>
    <t>GA</t>
  </si>
  <si>
    <t>NP</t>
  </si>
  <si>
    <t>TL</t>
  </si>
  <si>
    <t>NB</t>
  </si>
  <si>
    <t>SC</t>
  </si>
  <si>
    <t>TC</t>
  </si>
  <si>
    <t>JS</t>
  </si>
  <si>
    <t>LF</t>
  </si>
  <si>
    <t>SM</t>
  </si>
  <si>
    <t>BW</t>
  </si>
  <si>
    <t>KM</t>
  </si>
  <si>
    <t>AT</t>
  </si>
  <si>
    <t>KL</t>
  </si>
  <si>
    <t>IC</t>
  </si>
  <si>
    <t>JH</t>
  </si>
  <si>
    <t>ACJ</t>
  </si>
  <si>
    <t>ZJ</t>
  </si>
  <si>
    <t>HB</t>
  </si>
  <si>
    <t>DMR</t>
  </si>
  <si>
    <t>TF</t>
  </si>
  <si>
    <t>OKP</t>
  </si>
  <si>
    <t>IL</t>
  </si>
  <si>
    <t>Superior Landlord</t>
  </si>
  <si>
    <t>Transforming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</si>
</sst>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\Te\x\t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>
      <alignment vertical="center"/>
    </xf>
    <xf numFmtId="44" fontId="5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164" fontId="1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2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0" fillId="0" borderId="1" xfId="0" applyNumberFormat="1" applyBorder="1"/>
    <xf numFmtId="14" fontId="0" fillId="0" borderId="0" xfId="0" applyNumberFormat="1"/>
    <xf numFmtId="14" fontId="0" fillId="0" borderId="1" xfId="0" applyNumberFormat="1" applyBorder="1" applyAlignment="1">
      <alignment wrapText="1"/>
    </xf>
    <xf numFmtId="14" fontId="1" fillId="2" borderId="1" xfId="0" applyNumberFormat="1" applyFont="1" applyFill="1" applyBorder="1" applyAlignment="1">
      <alignment horizontal="left" wrapText="1"/>
    </xf>
    <xf numFmtId="164" fontId="1" fillId="2" borderId="2" xfId="0" applyNumberFormat="1" applyFont="1" applyFill="1" applyBorder="1" applyAlignment="1">
      <alignment horizontal="left" wrapText="1"/>
    </xf>
    <xf numFmtId="2" fontId="0" fillId="0" borderId="0" xfId="0" applyNumberFormat="1"/>
    <xf numFmtId="0" fontId="3" fillId="0" borderId="1" xfId="0" applyFont="1" applyBorder="1"/>
    <xf numFmtId="44" fontId="1" fillId="2" borderId="1" xfId="4" applyFont="1" applyFill="1" applyBorder="1" applyAlignment="1">
      <alignment horizontal="left" wrapText="1"/>
    </xf>
    <xf numFmtId="44" fontId="0" fillId="0" borderId="0" xfId="4" applyFont="1" applyAlignment="1">
      <alignment horizontal="left"/>
    </xf>
    <xf numFmtId="14" fontId="2" fillId="0" borderId="1" xfId="0" applyNumberFormat="1" applyFont="1" applyBorder="1" applyAlignment="1">
      <alignment horizontal="left"/>
    </xf>
    <xf numFmtId="44" fontId="2" fillId="0" borderId="1" xfId="4" applyFont="1" applyBorder="1" applyAlignment="1">
      <alignment horizontal="left"/>
    </xf>
    <xf numFmtId="49" fontId="2" fillId="0" borderId="1" xfId="0" applyNumberFormat="1" applyFont="1" applyBorder="1"/>
    <xf numFmtId="1" fontId="3" fillId="0" borderId="1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1" fontId="0" fillId="0" borderId="1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1" fillId="2" borderId="1" xfId="0" applyNumberFormat="1" applyFont="1" applyFill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/>
    </xf>
    <xf numFmtId="0" fontId="6" fillId="0" borderId="1" xfId="0" applyFont="1" applyBorder="1"/>
    <xf numFmtId="0" fontId="2" fillId="0" borderId="1" xfId="0" applyFont="1" applyBorder="1"/>
    <xf numFmtId="14" fontId="0" fillId="0" borderId="1" xfId="0" applyNumberFormat="1" applyBorder="1" applyAlignment="1">
      <alignment horizontal="left" wrapText="1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0" fillId="0" borderId="4" xfId="0" applyBorder="1" applyAlignment="1">
      <alignment wrapText="1"/>
    </xf>
    <xf numFmtId="44" fontId="0" fillId="0" borderId="1" xfId="4" applyFont="1" applyFill="1" applyBorder="1" applyAlignment="1">
      <alignment wrapText="1"/>
    </xf>
    <xf numFmtId="44" fontId="2" fillId="0" borderId="1" xfId="4" applyFont="1" applyFill="1" applyBorder="1" applyAlignment="1">
      <alignment horizontal="left"/>
    </xf>
    <xf numFmtId="44" fontId="0" fillId="0" borderId="1" xfId="4" applyFont="1" applyFill="1" applyBorder="1" applyAlignment="1">
      <alignment horizontal="left"/>
    </xf>
    <xf numFmtId="44" fontId="2" fillId="0" borderId="1" xfId="4" applyFont="1" applyFill="1" applyBorder="1"/>
    <xf numFmtId="164" fontId="1" fillId="2" borderId="3" xfId="0" applyNumberFormat="1" applyFont="1" applyFill="1" applyBorder="1" applyAlignment="1">
      <alignment horizontal="left" wrapText="1"/>
    </xf>
    <xf numFmtId="14" fontId="0" fillId="0" borderId="3" xfId="0" applyNumberFormat="1" applyBorder="1" applyAlignment="1">
      <alignment horizontal="left" wrapText="1"/>
    </xf>
    <xf numFmtId="14" fontId="2" fillId="0" borderId="3" xfId="0" applyNumberFormat="1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 wrapText="1"/>
    </xf>
    <xf numFmtId="164" fontId="1" fillId="2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49" fontId="2" fillId="0" borderId="4" xfId="0" applyNumberFormat="1" applyFont="1" applyBorder="1"/>
    <xf numFmtId="0" fontId="3" fillId="0" borderId="4" xfId="0" applyFont="1" applyBorder="1"/>
    <xf numFmtId="44" fontId="0" fillId="0" borderId="5" xfId="4" applyFont="1" applyFill="1" applyBorder="1" applyAlignment="1">
      <alignment wrapText="1"/>
    </xf>
    <xf numFmtId="0" fontId="0" fillId="0" borderId="5" xfId="0" applyBorder="1" applyAlignment="1">
      <alignment wrapText="1"/>
    </xf>
    <xf numFmtId="1" fontId="0" fillId="0" borderId="5" xfId="0" applyNumberFormat="1" applyBorder="1" applyAlignment="1">
      <alignment horizontal="center" wrapText="1"/>
    </xf>
    <xf numFmtId="0" fontId="0" fillId="0" borderId="5" xfId="0" applyBorder="1"/>
    <xf numFmtId="14" fontId="0" fillId="0" borderId="5" xfId="0" applyNumberFormat="1" applyBorder="1" applyAlignment="1">
      <alignment wrapText="1"/>
    </xf>
    <xf numFmtId="14" fontId="0" fillId="0" borderId="1" xfId="0" applyNumberFormat="1" applyBorder="1" applyAlignment="1">
      <alignment horizontal="left"/>
    </xf>
    <xf numFmtId="44" fontId="0" fillId="0" borderId="1" xfId="4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 indent="1"/>
    </xf>
  </cellXfs>
  <cellStyles count="5">
    <cellStyle name="Currency" xfId="4" builtinId="4"/>
    <cellStyle name="Normal" xfId="0" builtinId="0"/>
    <cellStyle name="Normal 2" xfId="1" xr:uid="{BCAB8650-4975-4DD1-AAF3-050E2C2C1E15}"/>
    <cellStyle name="Normal 3" xfId="2" xr:uid="{30EE73CC-10B5-4028-9826-9F6B865EA2B5}"/>
    <cellStyle name="Normal 4" xfId="3" xr:uid="{96F469D0-3313-46B0-ACE1-4B29AC58F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erine Bennett" refreshedDate="46160.64326759259" createdVersion="8" refreshedVersion="8" minRefreshableVersion="3" recordCount="215" xr:uid="{FF0A0C5F-2170-4367-BB34-8DABA6A9BE66}">
  <cacheSource type="worksheet">
    <worksheetSource ref="A1:R1048576" sheet="Data Sheet"/>
  </cacheSource>
  <cacheFields count="18">
    <cacheField name="Address" numFmtId="0">
      <sharedItems containsBlank="1"/>
    </cacheField>
    <cacheField name="Postcode" numFmtId="0">
      <sharedItems containsBlank="1" count="129">
        <s v="BB3 3LD"/>
        <s v="BD1 4DR"/>
        <s v="BD4 9LJ"/>
        <s v="BD6 2TZ"/>
        <s v="BD21 2ST"/>
        <s v="BD6 2LD"/>
        <s v="BD2 3JS"/>
        <s v="BD13 4NQ"/>
        <s v="BD10 0JF"/>
        <s v="BD17 6RW"/>
        <s v="BD13 4NG"/>
        <s v="BD21 4HA"/>
        <s v="CW11 1DE"/>
        <s v="CW1 5NJ"/>
        <s v="SK11 8LS"/>
        <s v="CW12 1LB"/>
        <s v="CH1 5AG"/>
        <s v="CH65 9AN"/>
        <s v="CH66 2YA"/>
        <s v="CW7 2AU"/>
        <s v="CH2 3QA"/>
        <s v="CH66 1JX"/>
        <s v="CH2 3BY"/>
        <s v="CH1 4HL"/>
        <s v="CO3 9TH"/>
        <s v="FY8 3QE"/>
        <s v="WA7 6EU"/>
        <s v="WA8 9FU"/>
        <s v="WA8 8QU"/>
        <s v="L35 2YQ"/>
        <s v="LS13 4LF"/>
        <s v="LS27 8WA"/>
        <s v="LS12 3PA"/>
        <s v="LS25 1PF"/>
        <s v="LS11 5TP"/>
        <s v="LS11 8AD"/>
        <s v="LS13 4DT"/>
        <s v="LS28 9NT"/>
        <s v="LS14 5LF"/>
        <s v="LS15 8RS"/>
        <s v="LS26 0UH"/>
        <s v="LE4 6NP"/>
        <s v="BN10 8HY"/>
        <s v="BN10 8XL"/>
        <s v="NN15 5SE"/>
        <s v="NN9 5JG"/>
        <s v="NN157DS"/>
        <s v="PL9 7DG"/>
        <s v="PL5 3SX"/>
        <s v="PL4 7NR"/>
        <s v="PL1 5PD"/>
        <s v="PL6 5EJ"/>
        <s v="PL5 2JS"/>
        <s v="S6 1BG"/>
        <s v="S6 1GE"/>
        <s v="S8 0PW"/>
        <s v="S14 1DF"/>
        <s v="S20 6RL"/>
        <s v="S35 4DE"/>
        <s v="S5 7NZ"/>
        <s v="S35 8PA"/>
        <s v="S35 8PD"/>
        <s v="S9 1LX"/>
        <s v="ST13 7FF"/>
        <s v="SK8 3LZ"/>
        <s v="SK8 3NB"/>
        <s v="SK6 3ED"/>
        <s v="SK7 3BQ"/>
        <s v="TS22 5RS"/>
        <s v="TQ12 5FG"/>
        <s v="CO16 9LG"/>
        <s v="CO13 0SB"/>
        <s v="TQ2 5DF"/>
        <s v="TQ1 3JH"/>
        <s v="TQ1 3RQ"/>
        <s v="TQ5 8PN"/>
        <s v="TQ1 3HD"/>
        <s v="M32 0TU"/>
        <s v="M33 3NW"/>
        <s v="WA5 4BY"/>
        <s v="WN6 7RS"/>
        <s v="WN6 7RR"/>
        <s v="WN6 8AT"/>
        <s v="WN7 3QN"/>
        <s v="WN2 1AR"/>
        <s v="CW1 5LE"/>
        <s v="DN15 8EQ"/>
        <m/>
        <s v="PL7 3SX" u="1"/>
        <s v=" CH2 3BY" u="1"/>
        <s v=" CH2 3QA" u="1"/>
        <s v=" CH1 4HL" u="1"/>
        <s v=" CO3 9TH" u="1"/>
        <s v=" FY8 3QE" u="1"/>
        <s v=" WA7 6EU" u="1"/>
        <s v=" WA8 9FU" u="1"/>
        <s v=" WA8 8QU" u="1"/>
        <s v=" L35 2YQ" u="1"/>
        <s v=" LE4 6NP" u="1"/>
        <s v=" NN9 5JG" u="1"/>
        <s v=" NN157DS" u="1"/>
        <s v=" PL9 7DG" u="1"/>
        <s v=" PL7 3SX" u="1"/>
        <s v=" PL4 7NR" u="1"/>
        <s v=" PL1 5PD" u="1"/>
        <s v=" PL6 5EJ" u="1"/>
        <s v=" PL5 2JS" u="1"/>
        <s v=" S14 1DF" u="1"/>
        <s v=" S20 6RL" u="1"/>
        <s v=" S35 4DE" u="1"/>
        <s v=" S35 8PA" u="1"/>
        <s v=" S35 8PD" u="1"/>
        <s v=" SK8 3LZ" u="1"/>
        <s v=" SK8 3NB" u="1"/>
        <s v=" SK7 3BQ" u="1"/>
        <s v=" TQ2 5DF" u="1"/>
        <s v=" TQ1 3JH" u="1"/>
        <s v=" TQ1 3RQ" u="1"/>
        <s v=" TQ5 8PN" u="1"/>
        <s v=" TQ1 3HD" u="1"/>
        <s v=" M32 0TU" u="1"/>
        <s v=" M33 3NW" u="1"/>
        <s v=" WA5 4BY" u="1"/>
        <s v=" WN6 7RS" u="1"/>
        <s v=" WN6 7RR" u="1"/>
        <s v=" WN6 8AT" u="1"/>
        <s v=" WN7 3QN" u="1"/>
        <s v=" WN2 1AR" u="1"/>
        <s v=" CW1 5LE" u="1"/>
      </sharedItems>
    </cacheField>
    <cacheField name="Property Type" numFmtId="0">
      <sharedItems containsBlank="1"/>
    </cacheField>
    <cacheField name="Model" numFmtId="0">
      <sharedItems containsBlank="1"/>
    </cacheField>
    <cacheField name="Managed by" numFmtId="0">
      <sharedItems containsBlank="1"/>
    </cacheField>
    <cacheField name="Lease End Date" numFmtId="0">
      <sharedItems containsDate="1" containsBlank="1" containsMixedTypes="1" minDate="2018-09-30T00:00:00" maxDate="2039-07-24T00:00:00"/>
    </cacheField>
    <cacheField name="Core Rent" numFmtId="44">
      <sharedItems containsString="0" containsBlank="1" containsNumber="1" minValue="91.860000000000014" maxValue="752.26"/>
    </cacheField>
    <cacheField name="Service Charges" numFmtId="44">
      <sharedItems containsString="0" containsBlank="1" containsNumber="1" minValue="58.49" maxValue="267.37"/>
    </cacheField>
    <cacheField name="Gross Total Rent" numFmtId="44">
      <sharedItems containsString="0" containsBlank="1" containsNumber="1" minValue="162.51" maxValue="913.89"/>
    </cacheField>
    <cacheField name="Local Authority" numFmtId="0">
      <sharedItems containsBlank="1"/>
    </cacheField>
    <cacheField name="Region" numFmtId="0">
      <sharedItems containsBlank="1" count="7">
        <s v="North West"/>
        <s v="Yorkshire"/>
        <s v="South East"/>
        <s v="Midlands"/>
        <s v="East Midlands"/>
        <s v="South West"/>
        <m/>
      </sharedItems>
    </cacheField>
    <cacheField name="Count" numFmtId="0">
      <sharedItems containsString="0" containsBlank="1" containsNumber="1" containsInteger="1" minValue="0" maxValue="1"/>
    </cacheField>
    <cacheField name="Tenancy Type" numFmtId="0">
      <sharedItems containsBlank="1"/>
    </cacheField>
    <cacheField name="Tenant Name" numFmtId="0">
      <sharedItems containsBlank="1"/>
    </cacheField>
    <cacheField name="Status" numFmtId="0">
      <sharedItems containsBlank="1" count="5">
        <s v="Active"/>
        <s v="TBC"/>
        <s v="Ended"/>
        <s v="Void"/>
        <m/>
      </sharedItems>
    </cacheField>
    <cacheField name="Move In" numFmtId="14">
      <sharedItems containsDate="1" containsBlank="1" containsMixedTypes="1" minDate="2015-09-01T00:00:00" maxDate="2026-05-19T00:00:00"/>
    </cacheField>
    <cacheField name="Move Out" numFmtId="0">
      <sharedItems containsNonDate="0" containsDate="1" containsString="0" containsBlank="1" minDate="2015-09-11T00:00:00" maxDate="2026-05-06T00:00:00"/>
    </cacheField>
    <cacheField name="Move 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s v="35 Pole Lane, Darwen, BB3 3LD"/>
    <x v="0"/>
    <s v="Bungalow"/>
    <s v="Lease"/>
    <s v="Lets for Life"/>
    <d v="2024-03-13T00:00:00"/>
    <n v="345.77"/>
    <n v="83.94"/>
    <n v="429.71"/>
    <s v="Blackburn with Darwen"/>
    <x v="0"/>
    <n v="1"/>
    <s v="Single"/>
    <s v="Aaron Green"/>
    <x v="0"/>
    <d v="2023-02-09T00:00:00"/>
    <m/>
    <m/>
  </r>
  <r>
    <s v="1 Alexander House Bolton Road, Bradford West Yorkshire BD1 4DR"/>
    <x v="1"/>
    <s v="Flat"/>
    <s v="Lease"/>
    <s v="Ling Trust"/>
    <d v="2026-07-06T00:00:00"/>
    <n v="343.65"/>
    <n v="89.24"/>
    <n v="432.89"/>
    <s v="Bradford"/>
    <x v="1"/>
    <n v="1"/>
    <s v="Single"/>
    <s v="Leigha Lonsdale"/>
    <x v="0"/>
    <d v="2025-09-01T00:00:00"/>
    <m/>
    <m/>
  </r>
  <r>
    <s v="127 Fenby Avenue, Dudley Hill, Bradford, BD4 9LJ"/>
    <x v="2"/>
    <s v="Bungalow"/>
    <s v="Lease"/>
    <s v="Ling Trust"/>
    <d v="2028-03-30T00:00:00"/>
    <n v="273.29000000000002"/>
    <n v="111.73"/>
    <n v="385.02000000000004"/>
    <s v="Bradford"/>
    <x v="1"/>
    <n v="1"/>
    <s v="Single"/>
    <s v="Isobel Hucul"/>
    <x v="0"/>
    <d v="2026-03-30T00:00:00"/>
    <m/>
    <m/>
  </r>
  <r>
    <s v="16 Loweswater Avenue, Bradford, BD6 2TZ"/>
    <x v="3"/>
    <s v="Bungalow"/>
    <s v="Lease"/>
    <s v="Ling Trust"/>
    <d v="2027-08-18T00:00:00"/>
    <n v="404.28"/>
    <n v="181.05"/>
    <n v="585.32999999999993"/>
    <s v="Bradford"/>
    <x v="1"/>
    <n v="1"/>
    <s v="Single"/>
    <s v="Dylan Astley"/>
    <x v="0"/>
    <d v="2024-08-19T00:00:00"/>
    <m/>
    <m/>
  </r>
  <r>
    <s v="21 Castle Road, Keighley, Bradford, BD21 2ST"/>
    <x v="4"/>
    <s v="House"/>
    <s v="Lease"/>
    <s v="Ling Trust"/>
    <d v="2028-02-28T00:00:00"/>
    <n v="332.32"/>
    <n v="113.21"/>
    <n v="445.53"/>
    <s v="Bradford"/>
    <x v="1"/>
    <n v="1"/>
    <s v="Shared"/>
    <s v="Daniel Martin"/>
    <x v="0"/>
    <d v="2025-06-30T00:00:00"/>
    <m/>
    <m/>
  </r>
  <r>
    <s v="21 Castle Road, Keighley, Bradford, BD21 2ST"/>
    <x v="4"/>
    <s v="House"/>
    <s v="Lease"/>
    <s v="Ling Trust"/>
    <d v="2028-02-28T00:00:00"/>
    <n v="332.32"/>
    <n v="113.21"/>
    <n v="445.53"/>
    <s v="Bradford"/>
    <x v="1"/>
    <n v="1"/>
    <s v="Shared"/>
    <s v="Owen Sangster"/>
    <x v="0"/>
    <d v="2025-06-16T00:00:00"/>
    <m/>
    <m/>
  </r>
  <r>
    <s v="21 Castle Road, Keighley, Bradford, BD21 2ST"/>
    <x v="4"/>
    <s v="House"/>
    <s v="Lease"/>
    <s v="Ling Trust"/>
    <d v="2028-02-28T00:00:00"/>
    <n v="332.32"/>
    <n v="113.21"/>
    <n v="445.53"/>
    <s v="Bradford"/>
    <x v="1"/>
    <n v="1"/>
    <s v="Shared"/>
    <s v="Kenneth Greenwood"/>
    <x v="0"/>
    <d v="2025-08-04T00:00:00"/>
    <m/>
    <m/>
  </r>
  <r>
    <s v="2a Brearcliffe Street, Bradford, BD6 2LD"/>
    <x v="5"/>
    <s v="Bungalow"/>
    <s v="Lease"/>
    <s v="Ling Trust"/>
    <d v="2025-11-04T00:00:00"/>
    <n v="437.8"/>
    <n v="157.94999999999999"/>
    <n v="595.75"/>
    <s v="Bradford"/>
    <x v="1"/>
    <n v="1"/>
    <s v="Single"/>
    <s v="Dean Grundy"/>
    <x v="0"/>
    <d v="2025-04-21T00:00:00"/>
    <m/>
    <m/>
  </r>
  <r>
    <s v="34 Blakehill Terrace, Bradford, BD2 3JS"/>
    <x v="6"/>
    <s v="House"/>
    <s v="Lease"/>
    <s v="Ling Trust"/>
    <d v="2027-04-17T00:00:00"/>
    <n v="472.38"/>
    <n v="195.16"/>
    <n v="667.54"/>
    <s v="Bradford"/>
    <x v="1"/>
    <n v="1"/>
    <s v="Single"/>
    <s v="Samuel Tales"/>
    <x v="0"/>
    <d v="2024-04-18T00:00:00"/>
    <m/>
    <m/>
  </r>
  <r>
    <s v="4 Alexander House Bolton Road, Bradford West Yorkshire BD1 4DR"/>
    <x v="1"/>
    <s v="Flat"/>
    <s v="Lease"/>
    <s v="Ling Trust"/>
    <d v="2026-07-06T00:00:00"/>
    <n v="232.62"/>
    <n v="79.25"/>
    <n v="311.87"/>
    <s v="Bradford"/>
    <x v="1"/>
    <n v="1"/>
    <s v="Single"/>
    <s v="David Hyrszko"/>
    <x v="0"/>
    <d v="2025-08-18T00:00:00"/>
    <m/>
    <m/>
  </r>
  <r>
    <s v="43 Longhouse Lane, Denholme, Bradford, BD13 4NQ"/>
    <x v="7"/>
    <s v="House"/>
    <s v="Lease"/>
    <s v="Ling Trust"/>
    <d v="2027-05-08T00:00:00"/>
    <n v="453.8"/>
    <n v="193.14"/>
    <n v="646.94000000000005"/>
    <s v="Bradford"/>
    <x v="1"/>
    <n v="1"/>
    <s v="Single"/>
    <s v="Dean Allsop"/>
    <x v="0"/>
    <d v="2024-05-09T00:00:00"/>
    <m/>
    <m/>
  </r>
  <r>
    <s v="52 Oakdale Drive, Bradford, BD10 0JF"/>
    <x v="8"/>
    <s v="Bungalow"/>
    <s v="Lease"/>
    <s v="Ling Trust"/>
    <d v="2028-08-06T00:00:00"/>
    <n v="280.67"/>
    <n v="139.35"/>
    <n v="420.02"/>
    <s v="Bradford"/>
    <x v="1"/>
    <n v="1"/>
    <s v="Single"/>
    <s v="Raheel Ali"/>
    <x v="0"/>
    <d v="2025-08-22T00:00:00"/>
    <m/>
    <m/>
  </r>
  <r>
    <s v="56 Moorland Avenue, Baildon, Shipley, BD17 6RW"/>
    <x v="9"/>
    <s v="House"/>
    <s v="Lease"/>
    <s v="Ling Trust"/>
    <d v="2026-10-27T00:00:00"/>
    <n v="237.53"/>
    <n v="143.80000000000001"/>
    <n v="381.33000000000004"/>
    <s v="Bradford"/>
    <x v="1"/>
    <n v="1"/>
    <s v="Shared"/>
    <s v="Mark Williams"/>
    <x v="0"/>
    <d v="2025-10-28T00:00:00"/>
    <m/>
    <m/>
  </r>
  <r>
    <s v="56 Moorland Avenue, Baildon, Shipley, BD17 6RW"/>
    <x v="9"/>
    <s v="House"/>
    <s v="Lease"/>
    <s v="Ling Trust"/>
    <d v="2026-10-27T00:00:00"/>
    <n v="237.53"/>
    <n v="143.80000000000001"/>
    <n v="381.33000000000004"/>
    <s v="Bradford"/>
    <x v="1"/>
    <n v="1"/>
    <s v="Shared"/>
    <s v="Benjamin Simey"/>
    <x v="0"/>
    <d v="2025-10-28T00:00:00"/>
    <m/>
    <m/>
  </r>
  <r>
    <s v="56 Moorland Avenue, Baildon, Shipley, BD17 6RW"/>
    <x v="9"/>
    <s v="House"/>
    <s v="Lease"/>
    <s v="Ling Trust"/>
    <d v="2026-11-17T00:00:00"/>
    <n v="237.53"/>
    <n v="143.80000000000001"/>
    <n v="381.33000000000004"/>
    <s v="Bradford"/>
    <x v="1"/>
    <n v="1"/>
    <s v="Shared"/>
    <s v="Benjamin Jordan"/>
    <x v="0"/>
    <d v="2025-11-10T00:00:00"/>
    <m/>
    <m/>
  </r>
  <r>
    <s v="43 Longhouse Drive, Denholme, Bradford, BD13 4NG"/>
    <x v="10"/>
    <s v="Bungalow"/>
    <s v="Lease"/>
    <s v="Ling Trust"/>
    <s v="TBC"/>
    <n v="322.75"/>
    <n v="156.69999999999999"/>
    <n v="479.45"/>
    <s v="Bradford"/>
    <x v="1"/>
    <n v="0"/>
    <s v="Single"/>
    <s v="Scarlett Hewitt"/>
    <x v="1"/>
    <s v="TBC"/>
    <m/>
    <m/>
  </r>
  <r>
    <s v="71a Bradford Road, Keighley, BD21 4HA"/>
    <x v="11"/>
    <s v="Flat"/>
    <s v="Lease"/>
    <s v="Ling Trust"/>
    <d v="2027-04-13T00:00:00"/>
    <n v="257.77999999999997"/>
    <n v="134.91"/>
    <n v="392.68999999999994"/>
    <s v="Bradford"/>
    <x v="1"/>
    <n v="1"/>
    <s v="Single"/>
    <s v="Anthony Douthwaite"/>
    <x v="0"/>
    <d v="2025-04-14T00:00:00"/>
    <m/>
    <m/>
  </r>
  <r>
    <s v="71b Bradford Road, Keighley, BD21 4HA"/>
    <x v="11"/>
    <s v="Flat"/>
    <s v="Lease"/>
    <s v="Ling Trust"/>
    <d v="2027-04-13T00:00:00"/>
    <n v="257.77999999999997"/>
    <n v="134.91"/>
    <n v="392.68999999999994"/>
    <s v="Bradford"/>
    <x v="1"/>
    <n v="1"/>
    <s v="Single"/>
    <s v="Mathew Hiley"/>
    <x v="0"/>
    <d v="2025-05-12T00:00:00"/>
    <m/>
    <m/>
  </r>
  <r>
    <s v="71c Bradford Road, Keighley, BD21 4HA"/>
    <x v="11"/>
    <s v="Flat"/>
    <s v="Lease"/>
    <s v="Ling Trust"/>
    <d v="2027-04-13T00:00:00"/>
    <n v="280.27999999999997"/>
    <n v="144.71"/>
    <n v="424.99"/>
    <s v="Bradford"/>
    <x v="1"/>
    <n v="1"/>
    <s v="Single"/>
    <s v="Mohammed Suleman Butt"/>
    <x v="0"/>
    <d v="2025-06-04T00:00:00"/>
    <m/>
    <m/>
  </r>
  <r>
    <s v="9 Alexander House Bolton Road, Bradford West Yorkshire BD1 4DR"/>
    <x v="1"/>
    <s v="Flat"/>
    <s v="Lease"/>
    <s v="Ling Trust"/>
    <d v="2026-07-06T00:00:00"/>
    <n v="343.65"/>
    <n v="89.24"/>
    <n v="432.89"/>
    <s v="Bradford"/>
    <x v="1"/>
    <n v="1"/>
    <s v="Single"/>
    <s v="Humayra Azam"/>
    <x v="0"/>
    <d v="2025-08-18T00:00:00"/>
    <m/>
    <m/>
  </r>
  <r>
    <s v="28 Platt Ave, Sandbach, CW11 1DE"/>
    <x v="12"/>
    <s v="House"/>
    <s v="Lease"/>
    <s v="Lets for Life"/>
    <d v="2027-05-18T00:00:00"/>
    <n v="338.37"/>
    <n v="110.5"/>
    <n v="448.87"/>
    <s v="Cheshire East"/>
    <x v="0"/>
    <n v="1"/>
    <s v="Single"/>
    <s v="Alick Satterthwaite"/>
    <x v="0"/>
    <d v="2025-05-19T00:00:00"/>
    <m/>
    <m/>
  </r>
  <r>
    <s v="8 Avon Drive, Crewe, CW1 5NJ"/>
    <x v="13"/>
    <s v="Bungalow"/>
    <s v="Lease"/>
    <s v="Lets for Life"/>
    <d v="2030-12-05T00:00:00"/>
    <n v="440.84"/>
    <n v="132.77000000000001"/>
    <n v="573.61"/>
    <s v="Cheshire East"/>
    <x v="0"/>
    <n v="1"/>
    <s v="Single"/>
    <s v="Michael Baines"/>
    <x v="0"/>
    <d v="2025-05-14T00:00:00"/>
    <m/>
    <m/>
  </r>
  <r>
    <s v="9 Clevedon Close, Macclesfield, Cheshire, SK11 8LS"/>
    <x v="14"/>
    <s v="Bungalow"/>
    <s v="Lease"/>
    <s v="Lets for Life"/>
    <d v="2027-06-16T00:00:00"/>
    <n v="383.55"/>
    <n v="118.25"/>
    <n v="501.8"/>
    <s v="Cheshire East"/>
    <x v="0"/>
    <n v="1"/>
    <s v="Single"/>
    <s v="Emily Lawton"/>
    <x v="0"/>
    <d v="2024-06-14T00:00:00"/>
    <m/>
    <m/>
  </r>
  <r>
    <s v="Flat 1, Bradshaw House, 21 Lawton Street, Congleton, CW12 1LB"/>
    <x v="15"/>
    <s v="Flat"/>
    <s v="Lease"/>
    <s v="Lets for Life"/>
    <d v="2030-01-19T00:00:00"/>
    <n v="344.65"/>
    <n v="125.32"/>
    <n v="469.96999999999997"/>
    <s v="Cheshire East"/>
    <x v="0"/>
    <n v="1"/>
    <s v="Single"/>
    <s v="Alice Hegarty"/>
    <x v="0"/>
    <d v="2025-07-14T00:00:00"/>
    <m/>
    <m/>
  </r>
  <r>
    <s v="Flat 2, Bradshaw House, 21 Lawton Street, Congleton, CW12 1LB"/>
    <x v="15"/>
    <s v="Flat"/>
    <s v="Lease"/>
    <s v="Lets for Life"/>
    <d v="2030-01-19T00:00:00"/>
    <n v="344.65"/>
    <n v="125.32"/>
    <n v="469.96999999999997"/>
    <s v="Cheshire East"/>
    <x v="0"/>
    <n v="1"/>
    <s v="Single"/>
    <s v="Lemanie Bennifer"/>
    <x v="0"/>
    <d v="2025-02-03T00:00:00"/>
    <m/>
    <m/>
  </r>
  <r>
    <s v="Flat 3, Bradshaw House, 21 Lawton Street, Congleton, CW12 1LB"/>
    <x v="15"/>
    <s v="Flat"/>
    <s v="Lease"/>
    <s v="Lets for Life"/>
    <d v="2030-01-19T00:00:00"/>
    <n v="344.65"/>
    <n v="125.32"/>
    <n v="469.96999999999997"/>
    <s v="Cheshire East"/>
    <x v="0"/>
    <n v="1"/>
    <s v="Single"/>
    <s v="Emma Jane Clarke"/>
    <x v="0"/>
    <d v="2026-05-05T00:00:00"/>
    <m/>
    <m/>
  </r>
  <r>
    <s v="Flat 4, Bradshaw House, 21 Lawton Street, Congleton, CW12 1LB"/>
    <x v="15"/>
    <s v="Flat"/>
    <s v="Lease"/>
    <s v="Lets for Life"/>
    <d v="2030-01-19T00:00:00"/>
    <n v="344.65"/>
    <n v="125.32"/>
    <n v="469.96999999999997"/>
    <s v="Cheshire East"/>
    <x v="0"/>
    <n v="1"/>
    <s v="Single"/>
    <s v="Charley Thomas"/>
    <x v="0"/>
    <d v="2025-02-03T00:00:00"/>
    <m/>
    <m/>
  </r>
  <r>
    <s v="Flat 5, Bradshaw House, 21 Lawton Street, Congleton, CW12 1LB"/>
    <x v="15"/>
    <s v="Flat"/>
    <s v="Lease"/>
    <s v="Lets for Life"/>
    <d v="2030-01-19T00:00:00"/>
    <n v="344.65"/>
    <n v="125.32"/>
    <n v="469.96999999999997"/>
    <s v="Cheshire East"/>
    <x v="0"/>
    <n v="1"/>
    <s v="Single"/>
    <s v="Thomas Dranfield"/>
    <x v="0"/>
    <d v="2025-06-17T00:00:00"/>
    <m/>
    <m/>
  </r>
  <r>
    <s v="Flat 6, Bradshaw House, 21 Lawton Street, Congleton, CW12 1LB"/>
    <x v="15"/>
    <s v="Flat"/>
    <s v="Lease"/>
    <s v="Lets for Life"/>
    <d v="2030-01-19T00:00:00"/>
    <n v="344.65"/>
    <n v="125.32"/>
    <n v="469.96999999999997"/>
    <s v="Cheshire East"/>
    <x v="0"/>
    <n v="1"/>
    <s v="Single"/>
    <s v="Amy Bayley"/>
    <x v="0"/>
    <d v="2025-02-05T00:00:00"/>
    <m/>
    <m/>
  </r>
  <r>
    <s v="9 Clevedon Close, Macclesfield, Cheshire, SK11 8LS"/>
    <x v="14"/>
    <s v="Bungalow"/>
    <s v="Lease"/>
    <s v="Lets for Life"/>
    <m/>
    <m/>
    <m/>
    <m/>
    <s v="Cheshire East"/>
    <x v="0"/>
    <n v="0"/>
    <s v="Single"/>
    <s v="Cameron Clapperton"/>
    <x v="2"/>
    <d v="2020-02-10T00:00:00"/>
    <m/>
    <s v="Support Needs Change"/>
  </r>
  <r>
    <s v="8 Avon Drive, Crewe, CW1 5NJ"/>
    <x v="13"/>
    <s v="Bungalow"/>
    <s v="Lease"/>
    <s v="Lets for Life"/>
    <d v="2030-12-05T00:00:00"/>
    <n v="440.84"/>
    <n v="132.77000000000001"/>
    <n v="573.61"/>
    <s v="Cheshire East"/>
    <x v="0"/>
    <n v="1"/>
    <s v="Single"/>
    <s v="Manon Colson"/>
    <x v="2"/>
    <d v="2024-12-05T00:00:00"/>
    <d v="2025-05-08T00:00:00"/>
    <s v="Support Needs Change"/>
  </r>
  <r>
    <s v="15 Oakfield Road, Blacon, Chester, CH1 5AG"/>
    <x v="16"/>
    <s v="Bungalow"/>
    <s v="Lease"/>
    <s v="Lets for Life"/>
    <d v="2024-05-14T00:00:00"/>
    <n v="285.54000000000002"/>
    <n v="76.97"/>
    <n v="362.51"/>
    <s v="Cheshire West and Chester"/>
    <x v="0"/>
    <n v="1"/>
    <s v="Single"/>
    <s v="Ryan Hipkiss"/>
    <x v="0"/>
    <d v="2023-05-15T00:00:00"/>
    <m/>
    <m/>
  </r>
  <r>
    <s v="175 Stanney Lane, Ellesmere Port, Cheshire, CH65 9AN"/>
    <x v="17"/>
    <s v="House"/>
    <s v="Lease"/>
    <s v="Lets for Life"/>
    <d v="2021-09-15T00:00:00"/>
    <n v="170.79"/>
    <n v="88.552999999999997"/>
    <n v="259.34299999999996"/>
    <s v="Cheshire West and Chester"/>
    <x v="0"/>
    <n v="1"/>
    <s v="Single"/>
    <s v="Sarah Davies"/>
    <x v="0"/>
    <d v="2021-03-15T00:00:00"/>
    <m/>
    <m/>
  </r>
  <r>
    <s v="2 Redwood Drive, Ellesmere Port, Cheshire, CH66 2YA"/>
    <x v="18"/>
    <s v="Bungalow"/>
    <s v="Lease"/>
    <s v="Lets for Life"/>
    <d v="2027-04-25T00:00:00"/>
    <n v="207.32"/>
    <n v="120.9"/>
    <n v="328.22"/>
    <s v="Cheshire West and Chester"/>
    <x v="0"/>
    <n v="1"/>
    <s v="Single"/>
    <s v="Marcus McBriar"/>
    <x v="0"/>
    <d v="2021-02-16T00:00:00"/>
    <m/>
    <m/>
  </r>
  <r>
    <s v="222 High Street, Winsford,  CW7 2AU"/>
    <x v="19"/>
    <s v="Bungalow"/>
    <s v="Lease"/>
    <s v="Lets for Life"/>
    <d v="2025-12-09T00:00:00"/>
    <n v="368.34"/>
    <n v="108.33"/>
    <n v="476.66999999999996"/>
    <s v="Cheshire West and Chester"/>
    <x v="0"/>
    <n v="1"/>
    <s v="Single"/>
    <s v="Barry Deeks"/>
    <x v="0"/>
    <d v="2025-12-09T00:00:00"/>
    <m/>
    <m/>
  </r>
  <r>
    <s v="Flat B, 8 Gresford Avenue, Hoole, Chester, Cheshire, CH2 3QA"/>
    <x v="20"/>
    <s v="Flat"/>
    <s v="Lease"/>
    <s v="Lets for Life"/>
    <m/>
    <m/>
    <m/>
    <m/>
    <s v="Cheshire West and Chester"/>
    <x v="0"/>
    <n v="0"/>
    <s v="Single"/>
    <s v="Adele Furmedge"/>
    <x v="2"/>
    <d v="2019-09-04T00:00:00"/>
    <d v="2019-11-17T00:00:00"/>
    <s v="Support Needs Change"/>
  </r>
  <r>
    <s v="23 Wellswood Road, Ellesmere Port, CH66 1JX"/>
    <x v="21"/>
    <s v="Bungalow"/>
    <s v="Lease"/>
    <s v="Lets for Life"/>
    <d v="2026-02-12T00:00:00"/>
    <n v="399.96999999999997"/>
    <n v="96.710000000000008"/>
    <n v="496.67999999999995"/>
    <s v="Cheshire West and Chester"/>
    <x v="0"/>
    <n v="1"/>
    <s v="Single"/>
    <s v="Alwyn Philip Ash"/>
    <x v="0"/>
    <d v="2025-02-12T00:00:00"/>
    <m/>
    <m/>
  </r>
  <r>
    <s v="Flat 1, 12 Phillip Street, Hoole, Cheshire, CH2 3BY"/>
    <x v="22"/>
    <s v="Flat"/>
    <s v="Lease"/>
    <s v="Lets for Life"/>
    <d v="2024-01-29T00:00:00"/>
    <n v="154.5"/>
    <n v="74.209999999999994"/>
    <n v="228.70999999999998"/>
    <s v="Cheshire West and Chester"/>
    <x v="0"/>
    <n v="1"/>
    <s v="Single"/>
    <s v="Richard Lee"/>
    <x v="0"/>
    <d v="2019-11-18T00:00:00"/>
    <m/>
    <m/>
  </r>
  <r>
    <s v="Flat 2, 12 Phillip Street, Hoole, Cheshire, CH2 3BY"/>
    <x v="22"/>
    <s v="Flat"/>
    <s v="Lease"/>
    <s v="Lets for Life"/>
    <d v="2024-01-29T00:00:00"/>
    <n v="154.5"/>
    <n v="74.209999999999994"/>
    <n v="228.70999999999998"/>
    <s v="Cheshire West and Chester"/>
    <x v="0"/>
    <n v="1"/>
    <s v="Single"/>
    <s v="Jeffrey Lee"/>
    <x v="0"/>
    <d v="2019-11-18T00:00:00"/>
    <m/>
    <m/>
  </r>
  <r>
    <s v="Flat A, 8 Gresford Avenue, Hoole, Chester, Cheshire, CH2 3QA"/>
    <x v="20"/>
    <s v="Flat"/>
    <s v="Lease"/>
    <s v="Lets for Life"/>
    <d v="2024-01-29T00:00:00"/>
    <n v="167.86"/>
    <n v="75.489999999999995"/>
    <n v="243.35000000000002"/>
    <s v="Cheshire West and Chester"/>
    <x v="0"/>
    <n v="1"/>
    <s v="Single"/>
    <s v="Samatha Bognar"/>
    <x v="0"/>
    <d v="2019-08-23T00:00:00"/>
    <m/>
    <m/>
  </r>
  <r>
    <s v="Flat B, 8 Gresford Avenue, Hoole, Chester, Cheshire, CH2 3QA"/>
    <x v="20"/>
    <s v="Flat"/>
    <s v="Lease"/>
    <s v="Lets for Life"/>
    <d v="2024-01-29T00:00:00"/>
    <n v="167.86"/>
    <n v="75.489999999999995"/>
    <n v="243.35000000000002"/>
    <s v="Cheshire West and Chester"/>
    <x v="0"/>
    <n v="1"/>
    <s v="Single"/>
    <s v="Mia Foden"/>
    <x v="0"/>
    <d v="2021-02-04T00:00:00"/>
    <m/>
    <m/>
  </r>
  <r>
    <s v="Flat B, 8 Gresford Avenue, Hoole, Chester, Cheshire, CH2 3QA"/>
    <x v="20"/>
    <s v="Flat"/>
    <s v="Lease"/>
    <s v="Lets for Life"/>
    <m/>
    <m/>
    <m/>
    <m/>
    <s v="Cheshire West and Chester"/>
    <x v="0"/>
    <n v="0"/>
    <s v="Single"/>
    <s v="Madison McCulloch"/>
    <x v="2"/>
    <d v="2020-02-14T00:00:00"/>
    <d v="2020-10-13T00:00:00"/>
    <s v="Support Needs Change"/>
  </r>
  <r>
    <s v="175 Stanney Lane, Ellesmere Port, Cheshire, CH65 9AN"/>
    <x v="17"/>
    <s v="House"/>
    <s v="Lease"/>
    <s v="Lets for Life"/>
    <m/>
    <m/>
    <m/>
    <m/>
    <s v="Cheshire West and Chester"/>
    <x v="0"/>
    <n v="0"/>
    <s v="Shared"/>
    <s v="Emily Shanahan"/>
    <x v="2"/>
    <d v="2021-03-15T00:00:00"/>
    <d v="2021-09-14T00:00:00"/>
    <s v="Support Needs Change"/>
  </r>
  <r>
    <s v="2 Denbigh Street, Chester, CH1 4HL"/>
    <x v="23"/>
    <s v="House"/>
    <s v="Lease"/>
    <s v="Lets for Life"/>
    <m/>
    <m/>
    <m/>
    <m/>
    <s v="Cheshire West and Chester"/>
    <x v="0"/>
    <n v="0"/>
    <s v="Shared"/>
    <s v="Christopher Rymel"/>
    <x v="2"/>
    <d v="2021-07-05T00:00:00"/>
    <d v="2023-03-20T00:00:00"/>
    <s v="Disposal"/>
  </r>
  <r>
    <s v="2 Denbigh Street, Chester, CH1 4HL"/>
    <x v="23"/>
    <s v="House"/>
    <s v="Lease"/>
    <s v="Lets for Life"/>
    <m/>
    <m/>
    <m/>
    <m/>
    <s v="Cheshire West and Chester"/>
    <x v="0"/>
    <n v="0"/>
    <s v="Shared"/>
    <s v="Terrance Bailey"/>
    <x v="2"/>
    <d v="2021-07-05T00:00:00"/>
    <d v="2023-03-20T00:00:00"/>
    <s v="Disposal"/>
  </r>
  <r>
    <s v="42 Spring Lane, 8 Ash Green, Forsham Heath, Colchester, CO3 9TH"/>
    <x v="24"/>
    <s v="Bungalow"/>
    <s v="Owned"/>
    <s v="Lets for Life"/>
    <s v="N/A"/>
    <n v="347.81"/>
    <n v="167.44"/>
    <n v="515.25"/>
    <s v="Colchester"/>
    <x v="2"/>
    <n v="1"/>
    <s v="Single"/>
    <s v="Dean Joseph"/>
    <x v="0"/>
    <d v="2025-01-29T00:00:00"/>
    <m/>
    <m/>
  </r>
  <r>
    <s v="20 Grassington Road, Lytham St Annes, Lancashire, FY8 3QE"/>
    <x v="25"/>
    <s v="Bungalow"/>
    <s v="Lease"/>
    <s v="Ling Trust"/>
    <d v="2025-07-21T00:00:00"/>
    <n v="461.64"/>
    <n v="205.94"/>
    <n v="667.57999999999993"/>
    <s v="Fylde"/>
    <x v="0"/>
    <n v="1"/>
    <s v="Single"/>
    <s v="Rae Green"/>
    <x v="0"/>
    <d v="2024-07-22T00:00:00"/>
    <m/>
    <m/>
  </r>
  <r>
    <s v="1 Starling Close, Runcorn, WA7 6EU"/>
    <x v="26"/>
    <s v="Bungalow"/>
    <s v="Lease"/>
    <s v="Lets for Life"/>
    <s v="17/08/2030"/>
    <n v="448.82"/>
    <n v="151.79"/>
    <n v="600.61"/>
    <s v="Halton"/>
    <x v="0"/>
    <n v="1"/>
    <s v="Single"/>
    <s v="Jessica McGarragh"/>
    <x v="0"/>
    <d v="2025-08-18T00:00:00"/>
    <m/>
    <m/>
  </r>
  <r>
    <s v="23a Lessingham Road, Widnes, WA8 9FU"/>
    <x v="27"/>
    <s v="House"/>
    <s v="Lease"/>
    <s v="Lets for Life"/>
    <d v="2026-01-16T00:00:00"/>
    <n v="458.42"/>
    <n v="140.15"/>
    <n v="598.57000000000005"/>
    <s v="Halton"/>
    <x v="0"/>
    <n v="1"/>
    <s v="Shared"/>
    <m/>
    <x v="3"/>
    <m/>
    <m/>
    <m/>
  </r>
  <r>
    <s v="23a Lessingham Road, Widnes, WA8 9FU"/>
    <x v="27"/>
    <s v="House"/>
    <s v="Lease"/>
    <s v="Lets for Life"/>
    <d v="2026-01-16T00:00:00"/>
    <n v="458.42"/>
    <n v="140.15"/>
    <n v="598.57000000000005"/>
    <s v="Halton"/>
    <x v="0"/>
    <n v="1"/>
    <s v="Shared"/>
    <m/>
    <x v="3"/>
    <m/>
    <m/>
    <m/>
  </r>
  <r>
    <s v="74 Heyes Road, Widnes, Halton, WA8 8QU"/>
    <x v="28"/>
    <s v="House"/>
    <s v="Lease"/>
    <s v="Lets for Life"/>
    <d v="2026-06-09T00:00:00"/>
    <n v="284.38"/>
    <n v="96.4"/>
    <n v="380.78"/>
    <s v="Halton"/>
    <x v="0"/>
    <n v="1"/>
    <s v="Single"/>
    <s v="Katy Devine"/>
    <x v="0"/>
    <d v="2025-12-10T00:00:00"/>
    <m/>
    <m/>
  </r>
  <r>
    <s v="23a Lessingham Road, Widnes, WA8 9FU"/>
    <x v="27"/>
    <s v="House"/>
    <s v="Lease"/>
    <s v="Lets for Life"/>
    <d v="2026-01-16T00:00:00"/>
    <n v="458.42"/>
    <n v="140.15"/>
    <n v="598.57000000000005"/>
    <s v="Halton"/>
    <x v="0"/>
    <n v="1"/>
    <s v="Shared"/>
    <s v="Cavana Grainge"/>
    <x v="2"/>
    <d v="2025-01-17T00:00:00"/>
    <d v="2026-04-02T00:00:00"/>
    <m/>
  </r>
  <r>
    <s v="8 Milton Close, Prescot, Knowsley, L35 2YQ"/>
    <x v="29"/>
    <s v="House"/>
    <s v="Lease"/>
    <s v="Lets for Life"/>
    <d v="2029-10-05T00:00:00"/>
    <n v="272.17"/>
    <n v="145.52000000000001"/>
    <n v="417.69000000000005"/>
    <s v="Knowsley"/>
    <x v="0"/>
    <n v="1"/>
    <s v="Single"/>
    <s v="Matthew Allen"/>
    <x v="0"/>
    <d v="2019-02-01T00:00:00"/>
    <m/>
    <m/>
  </r>
  <r>
    <s v="11 Heather Gardens, Leeds, LS13 4LF"/>
    <x v="30"/>
    <s v="Bungalow"/>
    <s v="Lease"/>
    <s v="Lets for Life"/>
    <d v="2031-05-05T00:00:00"/>
    <n v="437.24"/>
    <n v="103.28"/>
    <n v="540.52"/>
    <s v="Leeds"/>
    <x v="1"/>
    <n v="1"/>
    <s v="Single"/>
    <s v="John Murrell"/>
    <x v="0"/>
    <d v="2025-05-06T00:00:00"/>
    <m/>
    <m/>
  </r>
  <r>
    <s v="14 Millbeck Approach, Morley, Leeds, LS27 8WA"/>
    <x v="31"/>
    <s v="Bungalow"/>
    <s v="Lease"/>
    <s v="Lets for Life"/>
    <s v="30/09/2025"/>
    <n v="458.83"/>
    <n v="125.45"/>
    <n v="584.28"/>
    <s v="Leeds"/>
    <x v="1"/>
    <n v="1"/>
    <s v="Single"/>
    <s v="Francesca Butler"/>
    <x v="0"/>
    <d v="2025-09-30T00:00:00"/>
    <m/>
    <m/>
  </r>
  <r>
    <s v="15 Halliday Drive, Leeds, LS12 3PA"/>
    <x v="32"/>
    <s v="House"/>
    <s v="Lease"/>
    <s v="Lets for Life"/>
    <d v="2032-04-13T00:00:00"/>
    <n v="456.99"/>
    <n v="127.41"/>
    <n v="584.4"/>
    <s v="Leeds"/>
    <x v="1"/>
    <n v="1"/>
    <s v="Single"/>
    <s v="Bethany Goldthorpe"/>
    <x v="0"/>
    <d v="2026-04-14T00:00:00"/>
    <m/>
    <m/>
  </r>
  <r>
    <s v="18 Oak Road, Garforth, Leeds LS25 1PF"/>
    <x v="33"/>
    <s v="House"/>
    <s v="Lease"/>
    <s v="Lets for Life"/>
    <d v="2032-01-26T00:00:00"/>
    <n v="537.87"/>
    <n v="135.66999999999999"/>
    <n v="673.54"/>
    <s v="Leeds"/>
    <x v="1"/>
    <n v="1"/>
    <s v="Single"/>
    <s v="Leon O'Sullivan"/>
    <x v="0"/>
    <d v="2026-01-26T00:00:00"/>
    <m/>
    <m/>
  </r>
  <r>
    <s v="2 Gipsy Lane, Lingwell Rise, Leeds LS11 5TP"/>
    <x v="34"/>
    <s v="Bungalow"/>
    <s v="Lease"/>
    <s v="Lets for Life"/>
    <d v="2031-05-22T00:00:00"/>
    <n v="751.26"/>
    <n v="162.63"/>
    <n v="913.89"/>
    <s v="Leeds"/>
    <x v="1"/>
    <n v="1"/>
    <s v="Single"/>
    <s v="Adam Mattison"/>
    <x v="0"/>
    <d v="2025-10-02T00:00:00"/>
    <m/>
    <m/>
  </r>
  <r>
    <s v="3 Durban Crescent, Leeds, LS11 8AD"/>
    <x v="35"/>
    <s v="Bungalow"/>
    <s v="Lease"/>
    <s v="Lets for Life"/>
    <d v="2030-07-22T00:00:00"/>
    <n v="408.11"/>
    <n v="114.75"/>
    <n v="522.86"/>
    <s v="Leeds"/>
    <x v="1"/>
    <n v="1"/>
    <s v="Single"/>
    <m/>
    <x v="3"/>
    <m/>
    <m/>
    <m/>
  </r>
  <r>
    <s v="32 Park Spring Gardens, Leeds LS13 4DT"/>
    <x v="36"/>
    <s v="Bungalow"/>
    <s v="Lease"/>
    <s v="Lets for Life"/>
    <d v="2031-10-29T00:00:00"/>
    <n v="432.67"/>
    <n v="118.81"/>
    <n v="551.48"/>
    <s v="Leeds"/>
    <x v="1"/>
    <n v="1"/>
    <s v="Single"/>
    <s v="rah Jean Waddington"/>
    <x v="0"/>
    <d v="2025-10-30T00:00:00"/>
    <m/>
    <m/>
  </r>
  <r>
    <s v="33 Marlowe Close, Pudsey, LS28 9NT"/>
    <x v="37"/>
    <s v="Bungalow"/>
    <s v="Lease"/>
    <s v="Lets for Life"/>
    <d v="2031-05-01T00:00:00"/>
    <n v="406.3"/>
    <n v="115.38"/>
    <n v="521.68000000000006"/>
    <s v="Leeds"/>
    <x v="1"/>
    <n v="1"/>
    <s v="Single"/>
    <s v="Ryan Woods"/>
    <x v="0"/>
    <d v="2025-05-01T00:00:00"/>
    <m/>
    <m/>
  </r>
  <r>
    <s v="4 Gipsy Lane, Lingwell Rise, Leeds LS11 5TP"/>
    <x v="34"/>
    <s v="Bungalow"/>
    <s v="Lease"/>
    <s v="Lets for Life"/>
    <d v="2031-05-22T00:00:00"/>
    <n v="751.26"/>
    <n v="162.63"/>
    <n v="913.89"/>
    <s v="Leeds"/>
    <x v="1"/>
    <n v="1"/>
    <s v="Single"/>
    <s v="Ismail Abaker"/>
    <x v="0"/>
    <d v="2025-08-14T00:00:00"/>
    <m/>
    <m/>
  </r>
  <r>
    <s v="45 Swarcliffe Avenue, Leeds, LS14 5LF"/>
    <x v="38"/>
    <s v="Bungalow"/>
    <s v="Lease"/>
    <s v="Lets for Life"/>
    <d v="2035-02-10T00:00:00"/>
    <n v="426.09"/>
    <n v="125.99000000000001"/>
    <n v="552.07999999999993"/>
    <s v="Leeds"/>
    <x v="1"/>
    <n v="1"/>
    <s v="Single"/>
    <s v="Martin Clynes"/>
    <x v="0"/>
    <d v="2025-02-10T00:00:00"/>
    <m/>
    <m/>
  </r>
  <r>
    <s v="49 Kennerleigh Crescent, Leeds, LS15 8RS"/>
    <x v="39"/>
    <s v="House"/>
    <s v="Lease"/>
    <s v="Lets for Life"/>
    <d v="2031-04-18T00:00:00"/>
    <n v="561.9"/>
    <n v="134.91"/>
    <n v="696.81"/>
    <s v="Leeds"/>
    <x v="1"/>
    <n v="1"/>
    <s v="Single"/>
    <s v="Danielle Young"/>
    <x v="0"/>
    <d v="2025-05-19T00:00:00"/>
    <m/>
    <m/>
  </r>
  <r>
    <s v="6 Gipsy Lane, Lingwell Rise, Leeds LS11 5TP"/>
    <x v="34"/>
    <s v="Bungalow"/>
    <s v="Lease"/>
    <s v="Lets for Life"/>
    <d v="2031-05-22T00:00:00"/>
    <n v="751.26"/>
    <n v="162.63"/>
    <n v="913.89"/>
    <s v="Leeds"/>
    <x v="1"/>
    <n v="1"/>
    <s v="Single"/>
    <s v="Clare Walker"/>
    <x v="0"/>
    <d v="2025-07-11T00:00:00"/>
    <m/>
    <m/>
  </r>
  <r>
    <s v="8 Gipsy Lane, Lingwell Rise, Leeds LS11 5TP"/>
    <x v="34"/>
    <s v="Bungalow"/>
    <s v="Lease"/>
    <s v="Lets for Life"/>
    <d v="2031-05-22T00:00:00"/>
    <n v="751.26"/>
    <n v="162.63"/>
    <n v="913.89"/>
    <s v="Leeds"/>
    <x v="1"/>
    <n v="1"/>
    <s v="Single"/>
    <s v="Robina Dalawar"/>
    <x v="2"/>
    <d v="2025-07-23T00:00:00"/>
    <d v="2026-05-05T00:00:00"/>
    <s v="Support Needs Change"/>
  </r>
  <r>
    <s v="8 Haigh Side Close, Rothwell, Leeds, LS26 0UH"/>
    <x v="40"/>
    <s v="Bungalow"/>
    <s v="Lease"/>
    <s v="Lets for Life"/>
    <d v="2031-07-28T00:00:00"/>
    <n v="479"/>
    <n v="132.08000000000001"/>
    <n v="611.08000000000004"/>
    <s v="Leeds"/>
    <x v="1"/>
    <n v="1"/>
    <s v="Single"/>
    <s v="Kenneth Fletcher"/>
    <x v="0"/>
    <d v="2025-07-29T00:00:00"/>
    <m/>
    <m/>
  </r>
  <r>
    <s v="Gipsy Lane, Lingwell Rise, Leeds LS11 5TP"/>
    <x v="34"/>
    <s v="Bungalow"/>
    <s v="Lease"/>
    <s v="Lets for Life"/>
    <d v="2032-01-26T00:00:00"/>
    <n v="752.26"/>
    <n v="161.26"/>
    <n v="913.52"/>
    <s v="Leeds"/>
    <x v="1"/>
    <n v="1"/>
    <s v="Single"/>
    <s v="Jennipher Poppy King"/>
    <x v="0"/>
    <d v="2026-01-26T00:00:00"/>
    <m/>
    <m/>
  </r>
  <r>
    <s v="3 Durban Crescent, Leeds, LS11 8AD"/>
    <x v="35"/>
    <s v="Bungalow"/>
    <s v="Lease"/>
    <s v="Lets for Life"/>
    <d v="2030-07-22T00:00:00"/>
    <n v="397.38"/>
    <n v="108.09"/>
    <n v="505.47"/>
    <s v="Leeds"/>
    <x v="1"/>
    <n v="0"/>
    <s v="Single"/>
    <s v="Paul Drayton"/>
    <x v="2"/>
    <d v="2024-06-13T00:00:00"/>
    <d v="2026-01-28T00:00:00"/>
    <s v="Tenant Died"/>
  </r>
  <r>
    <s v="Flat 1, 157 Harrison Road, Leicester (Shared), LE4 6NP"/>
    <x v="41"/>
    <s v="Flat"/>
    <s v="Lease"/>
    <s v="Lets for Life"/>
    <m/>
    <m/>
    <m/>
    <m/>
    <s v="Leicester"/>
    <x v="3"/>
    <n v="0"/>
    <s v="Shared"/>
    <s v="Tina Shaw"/>
    <x v="2"/>
    <d v="2017-10-16T00:00:00"/>
    <d v="2018-01-16T00:00:00"/>
    <s v="Support Needs Change"/>
  </r>
  <r>
    <s v="Flat 1, 157 Harrison Road, Leicester (Shared), LE4 6NP"/>
    <x v="41"/>
    <s v="Flat"/>
    <s v="Lease"/>
    <s v="Lets for Life"/>
    <m/>
    <m/>
    <m/>
    <m/>
    <s v="Leicester"/>
    <x v="3"/>
    <n v="0"/>
    <s v="Shared"/>
    <s v="Annette Clarkson"/>
    <x v="2"/>
    <d v="2017-10-16T00:00:00"/>
    <d v="2021-06-13T00:00:00"/>
    <s v="Support Needs Change"/>
  </r>
  <r>
    <s v="Flat 8, 157 Harrison Road, Leicester, LE4 6NP"/>
    <x v="41"/>
    <s v="Flat"/>
    <s v="Lease"/>
    <s v="Lets for Life"/>
    <m/>
    <m/>
    <m/>
    <m/>
    <s v="Leicester"/>
    <x v="3"/>
    <n v="0"/>
    <s v="Single"/>
    <s v="Jyoti Thanki"/>
    <x v="2"/>
    <d v="2017-10-16T00:00:00"/>
    <d v="2021-07-18T00:00:00"/>
    <s v="Support Needs Change "/>
  </r>
  <r>
    <s v="Flat 5, 157 Harrison Road, Leicester, LE4 6NP"/>
    <x v="41"/>
    <s v="Flat"/>
    <s v="Lease"/>
    <s v="Lets for Life"/>
    <m/>
    <m/>
    <m/>
    <m/>
    <s v="Leicester"/>
    <x v="3"/>
    <n v="0"/>
    <s v="Single"/>
    <s v="John Tully"/>
    <x v="2"/>
    <d v="2017-10-16T00:00:00"/>
    <d v="2021-04-26T00:00:00"/>
    <s v="Support Needs Change "/>
  </r>
  <r>
    <s v="Flat 9, 157 Harrison Road, Leicester, LE4 6NP"/>
    <x v="41"/>
    <s v="Flat"/>
    <s v="Lease"/>
    <s v="Lets for Life"/>
    <m/>
    <m/>
    <m/>
    <m/>
    <s v="Leicester"/>
    <x v="3"/>
    <n v="0"/>
    <s v="Single"/>
    <s v="Rebecca D'Souza"/>
    <x v="2"/>
    <d v="2017-11-13T00:00:00"/>
    <d v="2023-07-14T00:00:00"/>
    <s v="Support Needs Change "/>
  </r>
  <r>
    <s v="Flat 6, 157 Harrison Road, Leicester, LE4 6NP"/>
    <x v="41"/>
    <s v="Flat"/>
    <s v="Lease"/>
    <s v="Lets for Life"/>
    <m/>
    <m/>
    <m/>
    <m/>
    <s v="Leicester"/>
    <x v="3"/>
    <n v="0"/>
    <s v="Single"/>
    <s v="Jattin Dattani"/>
    <x v="2"/>
    <d v="2018-02-06T00:00:00"/>
    <d v="2018-07-13T00:00:00"/>
    <s v="Support Needs Change"/>
  </r>
  <r>
    <s v="Flat 1, 157 Harrison Road, Leicester (Shared), LE4 6NP"/>
    <x v="41"/>
    <s v="Flat"/>
    <s v="Lease"/>
    <s v="Lets for Life"/>
    <m/>
    <m/>
    <m/>
    <m/>
    <s v="Leicester"/>
    <x v="3"/>
    <n v="0"/>
    <s v="Shared"/>
    <s v="Pauline Green"/>
    <x v="2"/>
    <d v="2018-04-19T00:00:00"/>
    <d v="2022-06-30T00:00:00"/>
    <s v="Support Needs Change"/>
  </r>
  <r>
    <s v="Flat 6, 157 Harrison Road, Leicester, LE4 6NP"/>
    <x v="41"/>
    <s v="Flat"/>
    <s v="Lease"/>
    <s v="Lets for Life"/>
    <m/>
    <m/>
    <m/>
    <m/>
    <s v="Leicester"/>
    <x v="3"/>
    <n v="0"/>
    <s v="Single"/>
    <s v="Lousie Nolan"/>
    <x v="2"/>
    <d v="2018-06-25T00:00:00"/>
    <m/>
    <s v="Support Needs Change"/>
  </r>
  <r>
    <s v="Flat 6, 157 Harrison Road, Leicester, LE4 6NP"/>
    <x v="41"/>
    <s v="Flat"/>
    <s v="Lease"/>
    <s v="Lets for Life"/>
    <m/>
    <m/>
    <m/>
    <m/>
    <s v="Leicester"/>
    <x v="3"/>
    <n v="0"/>
    <s v="Single"/>
    <s v="Corey North"/>
    <x v="2"/>
    <d v="2019-03-11T00:00:00"/>
    <d v="2020-05-03T00:00:00"/>
    <s v="Support Needs Change"/>
  </r>
  <r>
    <s v="Flat 1, 157 Harrison Road, Leicester (Shared), LE4 6NP"/>
    <x v="41"/>
    <s v="Flat"/>
    <s v="Lease"/>
    <s v="Lets for Life"/>
    <d v="2029-08-31T00:00:00"/>
    <n v="156.9"/>
    <n v="69.209999999999994"/>
    <n v="226.11"/>
    <s v="Leicester"/>
    <x v="3"/>
    <n v="1"/>
    <s v="Shared"/>
    <s v="Jonathan Lange"/>
    <x v="0"/>
    <d v="2023-03-13T00:00:00"/>
    <m/>
    <m/>
  </r>
  <r>
    <s v="Flat 1, 157 Harrison Road, Leicester (Shared), LE4 6NP"/>
    <x v="41"/>
    <s v="Flat"/>
    <s v="Lease"/>
    <s v="Lets for Life"/>
    <d v="2029-08-31T00:00:00"/>
    <n v="156.9"/>
    <n v="69.209999999999994"/>
    <n v="226.11"/>
    <s v="Leicester"/>
    <x v="3"/>
    <n v="1"/>
    <s v="Shared"/>
    <s v="Michael Balbier"/>
    <x v="0"/>
    <d v="2023-03-13T00:00:00"/>
    <m/>
    <m/>
  </r>
  <r>
    <s v="Flat 3, 157 Harrison Road, Leicester, LE4 6NP"/>
    <x v="41"/>
    <s v="Flat"/>
    <s v="Lease"/>
    <s v="Lets for Life"/>
    <d v="2029-08-31T00:00:00"/>
    <n v="169.23"/>
    <n v="83.57"/>
    <n v="252.79999999999998"/>
    <s v="Leicester"/>
    <x v="3"/>
    <n v="1"/>
    <s v="Single"/>
    <s v="Bhasker Desai"/>
    <x v="0"/>
    <d v="2017-10-16T00:00:00"/>
    <m/>
    <m/>
  </r>
  <r>
    <s v="Flat 4, 157 Harrison Road, Leicester, LE4 6NP"/>
    <x v="41"/>
    <s v="Flat"/>
    <s v="Lease"/>
    <s v="Lets for Life"/>
    <d v="2029-08-31T00:00:00"/>
    <n v="169.23"/>
    <n v="107.22"/>
    <n v="276.45"/>
    <s v="Leicester"/>
    <x v="3"/>
    <n v="1"/>
    <s v="Single"/>
    <s v="Joe Brooks"/>
    <x v="0"/>
    <d v="2017-10-16T00:00:00"/>
    <m/>
    <m/>
  </r>
  <r>
    <s v="Flat 5, 157 Harrison Road, Leicester, LE4 6NP"/>
    <x v="41"/>
    <s v="Flat"/>
    <s v="Lease"/>
    <s v="Lets for Life"/>
    <d v="2029-08-31T00:00:00"/>
    <n v="169.23"/>
    <n v="83.57"/>
    <n v="252.79999999999998"/>
    <s v="Leicester"/>
    <x v="3"/>
    <n v="1"/>
    <s v="Single"/>
    <s v="Theo Burdett"/>
    <x v="0"/>
    <d v="2023-01-24T00:00:00"/>
    <m/>
    <m/>
  </r>
  <r>
    <s v="Flat 6, 157 Harrison Road, Leicester, LE4 6NP"/>
    <x v="41"/>
    <s v="Flat"/>
    <s v="Lease"/>
    <s v="Lets for Life"/>
    <d v="2029-08-31T00:00:00"/>
    <n v="169.23"/>
    <n v="83.57"/>
    <n v="252.79999999999998"/>
    <s v="Leicester"/>
    <x v="3"/>
    <n v="1"/>
    <s v="Single"/>
    <s v="Gursharn Dasanj"/>
    <x v="0"/>
    <d v="2020-10-05T00:00:00"/>
    <m/>
    <m/>
  </r>
  <r>
    <s v="Flat 7, 157 Harrison Road, Leicester, LE4 6NP"/>
    <x v="41"/>
    <s v="Flat"/>
    <s v="Lease"/>
    <s v="Lets for Life"/>
    <d v="2029-08-31T00:00:00"/>
    <n v="169.23"/>
    <n v="83.57"/>
    <n v="252.79999999999998"/>
    <s v="Leicester"/>
    <x v="3"/>
    <n v="1"/>
    <s v="Single"/>
    <s v="Suraj Thanki"/>
    <x v="0"/>
    <d v="2017-10-16T00:00:00"/>
    <m/>
    <m/>
  </r>
  <r>
    <s v="Flat 8, 157 Harrison Road, Leicester, LE4 6NP"/>
    <x v="41"/>
    <s v="Flat"/>
    <s v="Lease"/>
    <s v="Lets for Life"/>
    <d v="2029-08-31T00:00:00"/>
    <n v="169.23"/>
    <n v="83.57"/>
    <n v="252.79999999999998"/>
    <s v="Leicester"/>
    <x v="3"/>
    <n v="1"/>
    <s v="Single"/>
    <s v="Rachel Benn"/>
    <x v="0"/>
    <d v="2021-10-11T00:00:00"/>
    <m/>
    <m/>
  </r>
  <r>
    <s v="Flat 9, 157 Harrison Road, Leicester, LE4 6NP"/>
    <x v="41"/>
    <s v="Flat"/>
    <s v="Lease"/>
    <s v="Lets for Life"/>
    <d v="2029-08-31T00:00:00"/>
    <n v="169.23"/>
    <n v="83.57"/>
    <n v="252.79999999999998"/>
    <s v="Leicester"/>
    <x v="3"/>
    <n v="1"/>
    <s v="Single"/>
    <s v="Alkesh Ramech"/>
    <x v="0"/>
    <d v="2023-10-09T00:00:00"/>
    <m/>
    <m/>
  </r>
  <r>
    <s v="196 Arundel Road, Peacehaven, East Sussex, BN10 8HY"/>
    <x v="42"/>
    <s v="Bungalow"/>
    <s v="Owned"/>
    <s v="Lets for Life"/>
    <s v="N/A"/>
    <n v="466.73"/>
    <n v="173.06"/>
    <n v="639.79"/>
    <s v="Lewes"/>
    <x v="2"/>
    <n v="1"/>
    <s v="Single"/>
    <s v="Tony Hickmott"/>
    <x v="0"/>
    <d v="2022-10-31T00:00:00"/>
    <m/>
    <m/>
  </r>
  <r>
    <s v="25 The Highway, Peacehaven. BN10 8XL"/>
    <x v="43"/>
    <s v="Bungalow"/>
    <s v="Owned"/>
    <s v="Lets for Life"/>
    <s v="N/A"/>
    <n v="553.99"/>
    <n v="122.89"/>
    <n v="676.88"/>
    <s v="Lewes"/>
    <x v="2"/>
    <n v="1"/>
    <s v="Single"/>
    <s v="Jacob Brown"/>
    <x v="0"/>
    <d v="2025-04-28T00:00:00"/>
    <m/>
    <m/>
  </r>
  <r>
    <s v="14 Alexandra St, Burton Latimer, Kettering, NN15 5SE"/>
    <x v="44"/>
    <s v="Bungalow"/>
    <s v="Lease"/>
    <s v="Ling Trust"/>
    <d v="2026-10-31T00:00:00"/>
    <n v="345.48"/>
    <n v="110.68"/>
    <n v="456.16"/>
    <s v="North Northamptonshire"/>
    <x v="4"/>
    <n v="1"/>
    <s v="Single"/>
    <s v="Ross Martin"/>
    <x v="0"/>
    <d v="2025-11-01T00:00:00"/>
    <m/>
    <m/>
  </r>
  <r>
    <s v="26 Orchard Road, Finedon NN9 5JG"/>
    <x v="45"/>
    <s v="Bungalow"/>
    <s v="Lease"/>
    <s v="Ling Trust"/>
    <d v="2026-10-31T00:00:00"/>
    <n v="389.25"/>
    <n v="116.05"/>
    <n v="505.3"/>
    <s v="North Northamptonshire"/>
    <x v="4"/>
    <n v="1"/>
    <s v="Single"/>
    <s v="Holly Collins"/>
    <x v="0"/>
    <d v="2025-11-01T00:00:00"/>
    <m/>
    <m/>
  </r>
  <r>
    <s v="33 Brockhill Close Kettering NN157DS"/>
    <x v="46"/>
    <s v="Bungalow"/>
    <s v="Lease"/>
    <s v="Ling Trust"/>
    <d v="2026-10-31T00:00:00"/>
    <n v="374.25"/>
    <n v="113.56"/>
    <n v="487.81"/>
    <s v="North Northamptonshire"/>
    <x v="4"/>
    <n v="1"/>
    <s v="Single"/>
    <s v="Joseph Weatherley"/>
    <x v="0"/>
    <d v="2025-11-01T00:00:00"/>
    <m/>
    <m/>
  </r>
  <r>
    <s v="Flat 3, 2a Rockville Park, Plymouth, PL9 7DG"/>
    <x v="47"/>
    <s v="Flat"/>
    <s v="Lease"/>
    <s v="Lets for Life"/>
    <m/>
    <m/>
    <m/>
    <m/>
    <s v="Plymouth"/>
    <x v="5"/>
    <n v="0"/>
    <s v="Single"/>
    <s v="Charlotte Atherton"/>
    <x v="2"/>
    <d v="2019-10-21T00:00:00"/>
    <d v="2020-08-17T00:00:00"/>
    <s v="Support Needs Change"/>
  </r>
  <r>
    <s v="Flat 5, 2a Rockville Park, Plymouth, PL9 7DG"/>
    <x v="47"/>
    <s v="Flat"/>
    <s v="Lease"/>
    <s v="Lets for Life"/>
    <m/>
    <m/>
    <m/>
    <m/>
    <s v="Plymouth"/>
    <x v="5"/>
    <n v="0"/>
    <s v="Single"/>
    <s v="Steven Perry"/>
    <x v="2"/>
    <d v="2019-10-21T00:00:00"/>
    <d v="2024-06-24T00:00:00"/>
    <s v="Support Needs Change"/>
  </r>
  <r>
    <s v="70 Old Woodlands Road, Crownhill, Plymouth, PL5 3SX"/>
    <x v="48"/>
    <s v="Bungalow"/>
    <s v="Lease"/>
    <s v="Lets for Life"/>
    <m/>
    <m/>
    <m/>
    <m/>
    <s v="Plymouth"/>
    <x v="5"/>
    <n v="0"/>
    <s v="Single"/>
    <s v="James Simon Davies"/>
    <x v="2"/>
    <d v="2019-11-22T00:00:00"/>
    <d v="2021-10-28T00:00:00"/>
    <s v="Tenant Died"/>
  </r>
  <r>
    <s v="242 Ladysmith Road, Lipson, Plymouth, PL4 7NR"/>
    <x v="49"/>
    <s v="House"/>
    <s v="Lease"/>
    <s v="Lets for Life"/>
    <m/>
    <m/>
    <m/>
    <m/>
    <s v="Plymouth"/>
    <x v="5"/>
    <n v="0"/>
    <s v="Single"/>
    <s v="Travis Andrews"/>
    <x v="2"/>
    <d v="2020-09-07T00:00:00"/>
    <d v="2022-09-17T00:00:00"/>
    <s v="Disposal"/>
  </r>
  <r>
    <s v="12 Sylvan Court, Plymouth, PL1 5PD"/>
    <x v="50"/>
    <s v="Flat"/>
    <s v="Lease"/>
    <s v="Lets for Life"/>
    <m/>
    <m/>
    <m/>
    <m/>
    <s v="Plymouth"/>
    <x v="5"/>
    <n v="0"/>
    <s v="Single"/>
    <s v="Ashley Tucker"/>
    <x v="2"/>
    <d v="2022-03-15T00:00:00"/>
    <d v="2023-10-23T00:00:00"/>
    <s v="Disposal"/>
  </r>
  <r>
    <s v="146 Tavistock Road, Plymouth, PL6 5EJ"/>
    <x v="51"/>
    <s v="Bungalow"/>
    <s v="Lease"/>
    <s v="Lets for Life"/>
    <d v="2026-06-17T00:00:00"/>
    <n v="269.17"/>
    <n v="169.65"/>
    <n v="438.82000000000005"/>
    <s v="Plymouth"/>
    <x v="5"/>
    <n v="1"/>
    <s v="Single"/>
    <s v="Joshua Jelf"/>
    <x v="0"/>
    <d v="2021-06-21T00:00:00"/>
    <m/>
    <m/>
  </r>
  <r>
    <s v="30 Duncombe Avenue, Plymouth, PL5 2JS"/>
    <x v="52"/>
    <s v="House"/>
    <s v="Lease"/>
    <s v="Lets for Life"/>
    <d v="2023-03-08T00:00:00"/>
    <n v="449.52"/>
    <n v="117.57"/>
    <n v="567.08999999999992"/>
    <s v="Plymouth"/>
    <x v="5"/>
    <n v="1"/>
    <s v="Single"/>
    <s v="Travis Andrews"/>
    <x v="0"/>
    <d v="2022-09-09T00:00:00"/>
    <m/>
    <m/>
  </r>
  <r>
    <s v="70 Old Woodlands Road, Crownhill, Plymouth, PL5 3SX"/>
    <x v="48"/>
    <s v="Bungalow"/>
    <s v="Lease"/>
    <s v="Lets for Life"/>
    <d v="2030-03-31T00:00:00"/>
    <n v="494.35"/>
    <n v="149.88999999999999"/>
    <n v="644.24"/>
    <s v="Plymouth"/>
    <x v="5"/>
    <n v="1"/>
    <s v="Single"/>
    <s v="Justice Weeks"/>
    <x v="0"/>
    <d v="2022-02-04T00:00:00"/>
    <m/>
    <m/>
  </r>
  <r>
    <s v="Flat 1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Julia Perring"/>
    <x v="0"/>
    <d v="2019-10-21T00:00:00"/>
    <m/>
    <m/>
  </r>
  <r>
    <s v="Flat 10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Stephen Lashbrook"/>
    <x v="0"/>
    <d v="2019-11-01T00:00:00"/>
    <m/>
    <m/>
  </r>
  <r>
    <s v="Flat 2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Shaun Kensall"/>
    <x v="0"/>
    <d v="2019-10-21T00:00:00"/>
    <m/>
    <m/>
  </r>
  <r>
    <s v="Flat 3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Neil Mitchelmore"/>
    <x v="0"/>
    <d v="2020-10-05T00:00:00"/>
    <m/>
    <m/>
  </r>
  <r>
    <s v="Flat 4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Ashley Harris"/>
    <x v="0"/>
    <d v="2019-10-21T00:00:00"/>
    <m/>
    <m/>
  </r>
  <r>
    <s v="Flat 5, 2a Rockville Park, Plymouth, PL9 7DG"/>
    <x v="47"/>
    <s v="Flat"/>
    <s v="Lease"/>
    <s v="Lets for Life"/>
    <d v="2026-10-02T00:00:00"/>
    <n v="278.5"/>
    <n v="87.9"/>
    <n v="366.4"/>
    <s v="Plymouth"/>
    <x v="5"/>
    <n v="1"/>
    <s v="Single"/>
    <s v="Lee Marks"/>
    <x v="0"/>
    <d v="2024-09-09T00:00:00"/>
    <m/>
    <m/>
  </r>
  <r>
    <s v="Flat 6, 2a Rockville Park, Plymouth, PL9 7DG"/>
    <x v="47"/>
    <s v="Flat"/>
    <s v="Lease"/>
    <s v="Lets for Life"/>
    <d v="2026-10-02T00:00:00"/>
    <n v="270.95"/>
    <n v="114.36"/>
    <n v="385.31"/>
    <s v="Plymouth"/>
    <x v="5"/>
    <n v="1"/>
    <s v="Joint"/>
    <s v="Philippa and Jason Read"/>
    <x v="0"/>
    <d v="2019-10-21T00:00:00"/>
    <m/>
    <m/>
  </r>
  <r>
    <s v="Flat 8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Hannah Yard"/>
    <x v="0"/>
    <d v="2019-10-21T00:00:00"/>
    <m/>
    <m/>
  </r>
  <r>
    <s v="Flat 9, 2a Rockville Park, Plymouth, PL9 7DG"/>
    <x v="47"/>
    <s v="Flat"/>
    <s v="Lease"/>
    <s v="Lets for Life"/>
    <d v="2026-10-02T00:00:00"/>
    <n v="270.95"/>
    <n v="90.71"/>
    <n v="361.65999999999997"/>
    <s v="Plymouth"/>
    <x v="5"/>
    <n v="1"/>
    <s v="Single"/>
    <s v="Mark Griffiths"/>
    <x v="0"/>
    <d v="2019-10-21T00:00:00"/>
    <m/>
    <m/>
  </r>
  <r>
    <s v="383 Foxhill Road, Sheffield, S6 1BG"/>
    <x v="53"/>
    <s v="Bungalow"/>
    <s v="Lease"/>
    <s v="Lets for Life"/>
    <d v="2039-07-23T00:00:00"/>
    <n v="247.64000000000001"/>
    <n v="74.42"/>
    <n v="322.06"/>
    <s v="Sheffield"/>
    <x v="1"/>
    <n v="0"/>
    <s v="Shared"/>
    <s v="Michael Bown"/>
    <x v="2"/>
    <d v="2019-07-22T00:00:00"/>
    <d v="2025-02-28T00:00:00"/>
    <s v="Support Needs Change"/>
  </r>
  <r>
    <s v="1a Foxhill Place, Sheffield, S6 1GE"/>
    <x v="54"/>
    <s v="Bungalow"/>
    <s v="Lease"/>
    <s v="Lets for Life"/>
    <m/>
    <m/>
    <m/>
    <m/>
    <s v="Sheffield"/>
    <x v="1"/>
    <n v="0"/>
    <s v="Shared"/>
    <s v="Joseph Seaman"/>
    <x v="2"/>
    <d v="2019-08-14T00:00:00"/>
    <d v="2023-12-24T00:00:00"/>
    <s v="Tenant Died"/>
  </r>
  <r>
    <s v="Apartment 38, The Dale, Sheffield, S8 0PW"/>
    <x v="55"/>
    <s v="Flat"/>
    <s v="Lease"/>
    <s v="Lets for Life"/>
    <m/>
    <m/>
    <m/>
    <m/>
    <s v="Sheffield"/>
    <x v="1"/>
    <n v="0"/>
    <s v="Single"/>
    <s v="Cathy Langan"/>
    <x v="2"/>
    <d v="2022-09-08T00:00:00"/>
    <d v="2024-03-11T00:00:00"/>
    <s v="Support Needs Change"/>
  </r>
  <r>
    <s v="1a Foxhill Place, Sheffield, S6 1GE"/>
    <x v="54"/>
    <s v="Bungalow"/>
    <s v="Lease"/>
    <s v="Lets for Life"/>
    <d v="2039-07-23T00:00:00"/>
    <n v="226.05"/>
    <n v="83.17"/>
    <n v="309.22000000000003"/>
    <s v="Sheffield"/>
    <x v="1"/>
    <n v="1"/>
    <s v="Shared"/>
    <s v="Helen Mason"/>
    <x v="0"/>
    <d v="2019-08-14T00:00:00"/>
    <m/>
    <m/>
  </r>
  <r>
    <s v="1a Foxhill Place, Sheffield, S6 1GE"/>
    <x v="54"/>
    <s v="Bungalow"/>
    <s v="Lease"/>
    <s v="Lets for Life"/>
    <d v="2039-07-23T00:00:00"/>
    <n v="226.05"/>
    <n v="83.17"/>
    <n v="309.22000000000003"/>
    <s v="Sheffield"/>
    <x v="1"/>
    <n v="1"/>
    <s v="Shared"/>
    <s v="John Fatajor"/>
    <x v="0"/>
    <d v="2025-01-13T00:00:00"/>
    <m/>
    <m/>
  </r>
  <r>
    <s v="23 Sandby Drive, Sheffield, S14 1DF"/>
    <x v="56"/>
    <s v="Bungalow"/>
    <s v="Lease"/>
    <s v="Lets for Life"/>
    <d v="2025-10-01T00:00:00"/>
    <n v="504.84"/>
    <n v="125.1"/>
    <n v="629.93999999999994"/>
    <s v="Sheffield"/>
    <x v="1"/>
    <n v="1"/>
    <s v="Single"/>
    <s v="Trevor Gilbert"/>
    <x v="0"/>
    <d v="2025-10-01T00:00:00"/>
    <m/>
    <m/>
  </r>
  <r>
    <s v="383 Foxhill Road, Sheffield, S6 1BG"/>
    <x v="53"/>
    <s v="Bungalow"/>
    <s v="Lease"/>
    <s v="Lets for Life"/>
    <d v="2039-07-23T00:00:00"/>
    <n v="255.88"/>
    <n v="76.44"/>
    <n v="332.32"/>
    <s v="Sheffield"/>
    <x v="1"/>
    <n v="1"/>
    <s v="Shared"/>
    <s v="Dawn Charlesworth"/>
    <x v="0"/>
    <d v="2019-07-22T00:00:00"/>
    <m/>
    <m/>
  </r>
  <r>
    <s v="383 Foxhill Road, Sheffield, S6 1BG"/>
    <x v="53"/>
    <s v="Bungalow"/>
    <s v="Lease"/>
    <s v="Lets for Life"/>
    <d v="2039-07-23T00:00:00"/>
    <n v="255.88"/>
    <n v="76.44"/>
    <n v="332.32"/>
    <s v="Sheffield"/>
    <x v="1"/>
    <n v="1"/>
    <s v="Shared"/>
    <s v="Rachel Machin"/>
    <x v="0"/>
    <d v="2019-09-23T00:00:00"/>
    <m/>
    <m/>
  </r>
  <r>
    <s v="383 Foxhill Road, Sheffield, S6 1BG"/>
    <x v="53"/>
    <s v="Bungalow"/>
    <s v="Lease"/>
    <s v="Lets for Life"/>
    <d v="2039-07-23T00:00:00"/>
    <n v="255.88"/>
    <n v="76.44"/>
    <n v="332.32"/>
    <s v="Sheffield"/>
    <x v="1"/>
    <n v="1"/>
    <s v="Shared"/>
    <s v="Karen Bray"/>
    <x v="0"/>
    <d v="2025-10-13T00:00:00"/>
    <m/>
    <m/>
  </r>
  <r>
    <s v="49 Broadlands Ave, Sheffield, S20 6RL"/>
    <x v="57"/>
    <s v="Bungalow"/>
    <s v="Lease"/>
    <s v="Lets for Life"/>
    <d v="2025-12-04T00:00:00"/>
    <n v="376.01"/>
    <n v="106.23"/>
    <n v="482.24"/>
    <s v="Sheffield"/>
    <x v="1"/>
    <n v="1"/>
    <s v="Shared"/>
    <s v="Michael Wroe"/>
    <x v="0"/>
    <d v="2025-12-04T00:00:00"/>
    <m/>
    <m/>
  </r>
  <r>
    <s v="49 Broadlands Ave, Sheffield, S20 6RL"/>
    <x v="57"/>
    <s v="Bungalow"/>
    <s v="Lease"/>
    <s v="Lets for Life"/>
    <d v="2025-12-04T00:00:00"/>
    <n v="376.01"/>
    <n v="106.23"/>
    <n v="482.24"/>
    <s v="Sheffield"/>
    <x v="1"/>
    <n v="1"/>
    <s v="Shared"/>
    <s v="Gary Race"/>
    <x v="0"/>
    <d v="2025-12-04T00:00:00"/>
    <m/>
    <m/>
  </r>
  <r>
    <s v="51 Dowland Avenue, High Green, Sheffield, S35 4DE"/>
    <x v="58"/>
    <s v="Bungalow"/>
    <s v="Lease"/>
    <s v="Lets for Life"/>
    <d v="2028-12-10T00:00:00"/>
    <n v="241.2"/>
    <n v="97.27"/>
    <n v="338.46999999999997"/>
    <s v="Sheffield"/>
    <x v="1"/>
    <n v="1"/>
    <s v="Single"/>
    <s v="Cathy Langan"/>
    <x v="0"/>
    <d v="2024-03-11T00:00:00"/>
    <m/>
    <m/>
  </r>
  <r>
    <s v="51 Longley Crescent, Sheffield, S5 7NZ"/>
    <x v="59"/>
    <s v="Bungalow"/>
    <s v="Lease"/>
    <s v="Lets for Life"/>
    <d v="2039-07-23T00:00:00"/>
    <n v="338.87"/>
    <n v="110.33"/>
    <n v="449.2"/>
    <s v="Sheffield"/>
    <x v="1"/>
    <n v="1"/>
    <s v="Single"/>
    <s v="Kevin Gibbons"/>
    <x v="0"/>
    <d v="2023-05-01T00:00:00"/>
    <m/>
    <m/>
  </r>
  <r>
    <s v="55 Halifax Road, Sheffield, S35 8PA"/>
    <x v="60"/>
    <s v="Bungalow"/>
    <s v="Lease"/>
    <s v="Lets for Life"/>
    <d v="2039-07-23T00:00:00"/>
    <n v="266.68"/>
    <n v="76.98"/>
    <n v="343.66"/>
    <s v="Sheffield"/>
    <x v="1"/>
    <n v="1"/>
    <s v="Shared"/>
    <s v="Joanne Paget"/>
    <x v="0"/>
    <d v="2020-07-13T00:00:00"/>
    <m/>
    <m/>
  </r>
  <r>
    <s v="55 Halifax Road, Sheffield, S35 8PA"/>
    <x v="60"/>
    <s v="Bungalow"/>
    <s v="Lease"/>
    <s v="Lets for Life"/>
    <d v="2039-07-23T00:00:00"/>
    <n v="266.68"/>
    <n v="76.98"/>
    <n v="343.66"/>
    <s v="Sheffield"/>
    <x v="1"/>
    <n v="1"/>
    <s v="Shared"/>
    <s v="Robert Parkin"/>
    <x v="0"/>
    <d v="2020-07-13T00:00:00"/>
    <m/>
    <m/>
  </r>
  <r>
    <s v="55 Halifax Road, Sheffield, S35 8PA"/>
    <x v="60"/>
    <s v="Bungalow"/>
    <s v="Lease"/>
    <s v="Lets for Life"/>
    <d v="2039-07-23T00:00:00"/>
    <n v="266.68"/>
    <n v="76.98"/>
    <n v="343.66"/>
    <s v="Sheffield"/>
    <x v="1"/>
    <n v="1"/>
    <s v="Shared"/>
    <s v="Zoe Creighton"/>
    <x v="0"/>
    <d v="2020-07-13T00:00:00"/>
    <m/>
    <m/>
  </r>
  <r>
    <s v="9 Hill Top Rise, Grenoside, Sheffield, S35 8PD"/>
    <x v="61"/>
    <s v="Bungalow"/>
    <s v="Lease"/>
    <s v="Lets for Life"/>
    <d v="2039-07-23T00:00:00"/>
    <n v="251.83"/>
    <n v="76.459999999999994"/>
    <n v="328.29"/>
    <s v="Sheffield"/>
    <x v="1"/>
    <n v="1"/>
    <s v="Shared"/>
    <s v="Kirstin Hague"/>
    <x v="0"/>
    <d v="2019-02-15T00:00:00"/>
    <m/>
    <m/>
  </r>
  <r>
    <s v="9 Hill Top Rise, Grenoside, Sheffield, S35 8PD"/>
    <x v="61"/>
    <s v="Bungalow"/>
    <s v="Lease"/>
    <s v="Lets for Life"/>
    <d v="2039-07-23T00:00:00"/>
    <n v="251.83"/>
    <n v="76.459999999999994"/>
    <n v="328.29"/>
    <s v="Sheffield"/>
    <x v="1"/>
    <n v="1"/>
    <s v="Shared"/>
    <s v="Sarah Perrin"/>
    <x v="0"/>
    <d v="2019-02-15T00:00:00"/>
    <m/>
    <m/>
  </r>
  <r>
    <s v="9 Hill Top Rise, Grenoside, Sheffield, S35 8PD"/>
    <x v="61"/>
    <s v="Bungalow"/>
    <s v="Lease"/>
    <s v="Lets for Life"/>
    <d v="2039-07-23T00:00:00"/>
    <n v="251.83"/>
    <n v="76.459999999999994"/>
    <n v="328.29"/>
    <s v="Sheffield"/>
    <x v="1"/>
    <n v="1"/>
    <s v="Shared"/>
    <s v="Stephanie Abbey"/>
    <x v="0"/>
    <d v="2019-02-15T00:00:00"/>
    <m/>
    <m/>
  </r>
  <r>
    <s v="Apartment 38, The Dale, Sheffield, S8 0PW"/>
    <x v="55"/>
    <s v="Flat"/>
    <s v="Lease"/>
    <s v="Lets for Life"/>
    <d v="2027-03-24T00:00:00"/>
    <n v="216.86"/>
    <n v="85.05"/>
    <n v="301.91000000000003"/>
    <s v="Sheffield"/>
    <x v="1"/>
    <n v="1"/>
    <s v="Single"/>
    <s v="Simon Birkett"/>
    <x v="0"/>
    <d v="2024-03-21T00:00:00"/>
    <m/>
    <m/>
  </r>
  <r>
    <s v="Flat 2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Michael Foster"/>
    <x v="0"/>
    <d v="2025-11-10T00:00:00"/>
    <m/>
    <m/>
  </r>
  <r>
    <s v="Flat 3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Emily Fisher"/>
    <x v="0"/>
    <d v="2025-06-09T00:00:00"/>
    <m/>
    <m/>
  </r>
  <r>
    <s v="Flat 4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Ricky Wilson"/>
    <x v="0"/>
    <d v="2025-07-07T00:00:00"/>
    <m/>
    <m/>
  </r>
  <r>
    <s v="Flat 5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m/>
    <x v="3"/>
    <m/>
    <m/>
    <m/>
  </r>
  <r>
    <s v="Flat 7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Harry Cottam"/>
    <x v="2"/>
    <d v="2025-06-09T00:00:00"/>
    <d v="2026-02-17T00:00:00"/>
    <s v="Evicted - Anti Social Behaviour"/>
  </r>
  <r>
    <s v="Flat 6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Levi Larner"/>
    <x v="0"/>
    <d v="2025-08-04T00:00:00"/>
    <m/>
    <m/>
  </r>
  <r>
    <s v="Flat 1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Amy Levy"/>
    <x v="0"/>
    <d v="2025-06-16T00:00:00"/>
    <m/>
    <m/>
  </r>
  <r>
    <s v="Flat 5, 330 Newman Road, Sheffield, S9 1LX"/>
    <x v="62"/>
    <s v="Flat"/>
    <s v="Lease"/>
    <s v="Lets for Life"/>
    <d v="2031-06-09T00:00:00"/>
    <n v="367.67"/>
    <n v="116.38"/>
    <n v="484.05"/>
    <s v="Sheffield"/>
    <x v="1"/>
    <n v="0"/>
    <s v="Single"/>
    <s v="Dylan Munshi"/>
    <x v="2"/>
    <d v="2025-06-23T00:00:00"/>
    <d v="2026-03-23T00:00:00"/>
    <s v="Support Needs Change"/>
  </r>
  <r>
    <s v="Flat 8, 330 Newman Road, Sheffield, S9 1LX"/>
    <x v="62"/>
    <s v="Flat"/>
    <s v="Lease"/>
    <s v="Lets for Life"/>
    <d v="2031-06-09T00:00:00"/>
    <n v="367.67"/>
    <n v="116.38"/>
    <n v="484.05"/>
    <s v="Sheffield"/>
    <x v="1"/>
    <n v="1"/>
    <s v="Single"/>
    <s v="Amir Humzah Khan"/>
    <x v="0"/>
    <d v="2026-03-18T00:00:00"/>
    <m/>
    <m/>
  </r>
  <r>
    <s v="8 Willow Drive, Leek, Staffordshire, ST13 7FF"/>
    <x v="63"/>
    <s v="House"/>
    <s v="Lease"/>
    <s v="Lets for Life"/>
    <d v="2029-05-11T00:00:00"/>
    <n v="396.81"/>
    <n v="114.11"/>
    <n v="510.92"/>
    <s v="Staffordshire"/>
    <x v="3"/>
    <n v="1"/>
    <s v="Single"/>
    <s v="Joseph Martin"/>
    <x v="0"/>
    <d v="2024-08-12T00:00:00"/>
    <m/>
    <m/>
  </r>
  <r>
    <s v="25 Outwood Road, Heald Green, Cheadle, Stockport, SK8 3LZ"/>
    <x v="64"/>
    <s v="Flat"/>
    <s v="Lease"/>
    <s v="Lets for Life"/>
    <m/>
    <m/>
    <m/>
    <m/>
    <s v="Stockport"/>
    <x v="0"/>
    <n v="0"/>
    <s v="Shared"/>
    <s v="Jessica Harradine"/>
    <x v="2"/>
    <d v="2018-10-08T00:00:00"/>
    <d v="2023-06-05T00:00:00"/>
    <s v="Disposal"/>
  </r>
  <r>
    <s v="2 Gloucester Road, Heald Green, Cheadle, Stockport, SK8 3NB"/>
    <x v="65"/>
    <s v="Flat"/>
    <s v="Lease"/>
    <s v="Lets for Life"/>
    <d v="2024-01-31T00:00:00"/>
    <n v="178.41"/>
    <n v="83.2"/>
    <n v="261.61"/>
    <s v="Stockport"/>
    <x v="0"/>
    <n v="1"/>
    <s v="Shared"/>
    <s v="Cara Denham"/>
    <x v="0"/>
    <d v="2018-10-26T00:00:00"/>
    <m/>
    <m/>
  </r>
  <r>
    <s v="2 Gloucester Road, Heald Green, Cheadle, Stockport, SK8 3NB"/>
    <x v="65"/>
    <s v="Flat"/>
    <s v="Lease"/>
    <s v="Lets for Life"/>
    <d v="2024-01-31T00:00:00"/>
    <n v="178.41"/>
    <n v="83.2"/>
    <n v="261.61"/>
    <s v="Stockport"/>
    <x v="0"/>
    <n v="1"/>
    <s v="Shared"/>
    <s v="Ruth Ward"/>
    <x v="0"/>
    <d v="2018-10-26T00:00:00"/>
    <m/>
    <m/>
  </r>
  <r>
    <s v="25 Outwood Road, Heald Green, Cheadle, Stockport, SK8 3LZ"/>
    <x v="64"/>
    <s v="Flat"/>
    <s v="Lease"/>
    <s v="Lets for Life"/>
    <d v="2024-01-31T00:00:00"/>
    <n v="246.66"/>
    <n v="85.07"/>
    <n v="331.73"/>
    <s v="Stockport"/>
    <x v="0"/>
    <n v="1"/>
    <s v="Single"/>
    <s v="Ellie Spencer"/>
    <x v="0"/>
    <d v="2018-10-08T00:00:00"/>
    <m/>
    <m/>
  </r>
  <r>
    <s v="5 Omerod Close, Stockport, SK6 3ED"/>
    <x v="66"/>
    <s v="Bungalow"/>
    <s v="Lease"/>
    <s v="Lets for Life"/>
    <d v="2027-07-10T00:00:00"/>
    <n v="244.09"/>
    <n v="89.14"/>
    <n v="333.23"/>
    <s v="Stockport"/>
    <x v="0"/>
    <n v="1"/>
    <s v="Single"/>
    <s v="Gary Crutchley"/>
    <x v="0"/>
    <d v="2025-07-10T00:00:00"/>
    <m/>
    <m/>
  </r>
  <r>
    <s v="5 Roseway, Stockport, SK7 3BQ"/>
    <x v="67"/>
    <s v="Bungalow"/>
    <s v="Lease"/>
    <s v="Lets for Life"/>
    <d v="2030-01-02T00:00:00"/>
    <n v="280.69"/>
    <n v="99.65"/>
    <n v="380.34000000000003"/>
    <s v="Stockport"/>
    <x v="0"/>
    <n v="1"/>
    <s v="Single"/>
    <s v="David Snee"/>
    <x v="0"/>
    <d v="2024-04-02T00:00:00"/>
    <m/>
    <m/>
  </r>
  <r>
    <s v="1 Cranstock Close, Billingham, Stockton, TS22 5RS"/>
    <x v="68"/>
    <s v="Bungalow"/>
    <s v="Lease"/>
    <s v="Ling Trust"/>
    <d v="2028-04-01T00:00:00"/>
    <n v="231.74"/>
    <n v="138.6"/>
    <n v="370.34000000000003"/>
    <s v="Stockton-on-Tees"/>
    <x v="1"/>
    <n v="1"/>
    <s v="Shared"/>
    <s v="Thomas Arrol"/>
    <x v="0"/>
    <d v="2026-04-01T00:00:00"/>
    <m/>
    <m/>
  </r>
  <r>
    <s v="1 Cranstock Close, Billingham, Stockton, TS22 5RS"/>
    <x v="68"/>
    <s v="Bungalow"/>
    <s v="Lease"/>
    <s v="Ling Trust"/>
    <d v="2028-04-01T00:00:00"/>
    <n v="231.74"/>
    <n v="138.6"/>
    <n v="370.34000000000003"/>
    <s v="Stockton-on-Tees"/>
    <x v="1"/>
    <n v="1"/>
    <s v="Shared"/>
    <s v="Thomas Booth"/>
    <x v="0"/>
    <d v="2026-04-01T00:00:00"/>
    <m/>
    <m/>
  </r>
  <r>
    <s v="1 Cranstock Close, Billingham, Stockton, TS22 5RS"/>
    <x v="68"/>
    <s v="Bungalow"/>
    <s v="Lease"/>
    <s v="Ling Trust"/>
    <d v="2028-04-01T00:00:00"/>
    <n v="231.74"/>
    <n v="138.6"/>
    <n v="370.34000000000003"/>
    <s v="Stockton-on-Tees"/>
    <x v="1"/>
    <n v="1"/>
    <s v="Shared"/>
    <s v="Alex Hall"/>
    <x v="0"/>
    <d v="2026-04-01T00:00:00"/>
    <m/>
    <m/>
  </r>
  <r>
    <s v="3 The Old Vicarage, 43 Fore Street, Kingskerswell, Newton Abbot, TQ12 5FG"/>
    <x v="69"/>
    <s v="Flat"/>
    <s v="Lease"/>
    <s v="Lets for Life"/>
    <m/>
    <m/>
    <m/>
    <m/>
    <s v="Teignbridge"/>
    <x v="5"/>
    <n v="0"/>
    <s v="Single"/>
    <s v="Sally Cairns"/>
    <x v="2"/>
    <d v="2016-01-01T00:00:00"/>
    <d v="2021-09-09T00:00:00"/>
    <s v="Tenant Died"/>
  </r>
  <r>
    <s v="8 The Old Vicarage, 43 Fore Street, Kingskerswell, Newton Abbot, TQ12 5FG"/>
    <x v="69"/>
    <s v="Flat"/>
    <s v="Lease"/>
    <s v="Lets for Life"/>
    <m/>
    <m/>
    <m/>
    <m/>
    <s v="Teignbridge"/>
    <x v="5"/>
    <n v="0"/>
    <s v="Single"/>
    <s v="Samantha Adcock Hughes"/>
    <x v="2"/>
    <d v="2016-01-01T00:00:00"/>
    <d v="2017-06-04T00:00:00"/>
    <s v="Support Needs Change"/>
  </r>
  <r>
    <s v="2 The Old Vicarage, 43 Fore Street, Kingskerswell, Newton Abbot, TQ12 5FG"/>
    <x v="69"/>
    <s v="Flat"/>
    <s v="Lease"/>
    <s v="Lets for Life"/>
    <m/>
    <m/>
    <m/>
    <m/>
    <s v="Teignbridge"/>
    <x v="5"/>
    <n v="0"/>
    <s v="Single"/>
    <s v="Daniel White"/>
    <x v="2"/>
    <d v="2016-01-01T00:00:00"/>
    <d v="2016-04-26T00:00:00"/>
    <s v="Support Needs Change"/>
  </r>
  <r>
    <s v="1 The Old Vicarage, 43 Fore Street, Kingskerswell, Newton Abbot, TQ12 5FG"/>
    <x v="69"/>
    <s v="Flat"/>
    <s v="Lease"/>
    <s v="Lets for Life"/>
    <d v="2028-04-02T00:00:00"/>
    <n v="217.08"/>
    <n v="98.65"/>
    <n v="315.73"/>
    <s v="Teignbridge"/>
    <x v="5"/>
    <n v="1"/>
    <s v="Single"/>
    <s v="Daniel Woolley"/>
    <x v="0"/>
    <d v="2016-01-01T00:00:00"/>
    <m/>
    <m/>
  </r>
  <r>
    <s v="2 The Old Vicarage, 43 Fore Street, Kingskerswell, Newton Abbot, TQ12 5FG"/>
    <x v="69"/>
    <s v="Flat"/>
    <s v="Lease"/>
    <s v="Lets for Life"/>
    <d v="2028-04-02T00:00:00"/>
    <n v="217.08"/>
    <n v="98.67"/>
    <n v="315.75"/>
    <s v="Teignbridge"/>
    <x v="5"/>
    <n v="1"/>
    <s v="Single"/>
    <s v="Sarah Green"/>
    <x v="0"/>
    <d v="2017-07-14T00:00:00"/>
    <m/>
    <m/>
  </r>
  <r>
    <s v="3 The Old Vicarage, 43 Fore Street, Kingskerswell, Newton Abbot, TQ12 5FG"/>
    <x v="69"/>
    <s v="Flat"/>
    <s v="Lease"/>
    <s v="Lets for Life"/>
    <d v="2028-04-02T00:00:00"/>
    <n v="217.08"/>
    <n v="96.1"/>
    <n v="313.18"/>
    <s v="Teignbridge"/>
    <x v="5"/>
    <n v="1"/>
    <s v="Single"/>
    <s v="Corrine Best"/>
    <x v="0"/>
    <d v="2022-05-27T00:00:00"/>
    <m/>
    <m/>
  </r>
  <r>
    <s v="4 The Old Vicarage, 43 Fore Street, Kingskerswell, Newton Abbot, TQ12 5FG"/>
    <x v="69"/>
    <s v="Flat"/>
    <s v="Lease"/>
    <s v="Lets for Life"/>
    <d v="2028-04-02T00:00:00"/>
    <n v="151.96"/>
    <n v="80.48"/>
    <n v="232.44"/>
    <s v="Teignbridge"/>
    <x v="5"/>
    <n v="1"/>
    <s v="Shared"/>
    <s v="James Minshall"/>
    <x v="0"/>
    <d v="2016-01-01T00:00:00"/>
    <m/>
    <m/>
  </r>
  <r>
    <s v="4 The Old Vicarage, 43 Fore Street, Kingskerswell, Newton Abbot, TQ12 5FG"/>
    <x v="69"/>
    <s v="Flat"/>
    <s v="Lease"/>
    <s v="Lets for Life"/>
    <d v="2028-04-02T00:00:00"/>
    <n v="151.96"/>
    <n v="80.48"/>
    <n v="232.44"/>
    <s v="Teignbridge"/>
    <x v="5"/>
    <n v="1"/>
    <s v="Shared"/>
    <s v="Neil Ward"/>
    <x v="0"/>
    <d v="2016-01-01T00:00:00"/>
    <m/>
    <m/>
  </r>
  <r>
    <s v="5 The Old Vicarage, 43 Fore Street, Kingskerswell, Newton Abbot, TQ12 5FG"/>
    <x v="69"/>
    <s v="Flat"/>
    <s v="Lease"/>
    <s v="Lets for Life"/>
    <d v="2028-04-02T00:00:00"/>
    <n v="151.96"/>
    <n v="81.760000000000005"/>
    <n v="233.72000000000003"/>
    <s v="Teignbridge"/>
    <x v="5"/>
    <n v="1"/>
    <s v="Shared"/>
    <s v="Charlotte Hardy"/>
    <x v="0"/>
    <d v="2016-01-01T00:00:00"/>
    <m/>
    <m/>
  </r>
  <r>
    <s v="5 The Old Vicarage, 43 Fore Street, Kingskerswell, Newton Abbot, TQ12 5FG"/>
    <x v="69"/>
    <s v="Flat"/>
    <s v="Lease"/>
    <s v="Lets for Life"/>
    <d v="2028-04-02T00:00:00"/>
    <n v="151.96"/>
    <n v="81.760000000000005"/>
    <n v="233.72000000000003"/>
    <s v="Teignbridge"/>
    <x v="5"/>
    <n v="1"/>
    <s v="Shared"/>
    <s v="Katy Jago"/>
    <x v="0"/>
    <d v="2016-01-01T00:00:00"/>
    <m/>
    <m/>
  </r>
  <r>
    <s v="6 The Old Vicarage, 43 Fore Street, Kingskerswell, Newton Abbot, TQ12 5FG"/>
    <x v="69"/>
    <s v="Flat"/>
    <s v="Lease"/>
    <s v="Lets for Life"/>
    <d v="2028-04-02T00:00:00"/>
    <n v="171.86"/>
    <n v="90.04"/>
    <n v="261.90000000000003"/>
    <s v="Teignbridge"/>
    <x v="5"/>
    <n v="1"/>
    <s v="Single"/>
    <s v="Simon Tucker"/>
    <x v="0"/>
    <d v="2016-01-01T00:00:00"/>
    <m/>
    <m/>
  </r>
  <r>
    <s v="7 The Old Vicarage, 43 Fore Street, Kingskerswell, Newton Abbot, TQ12 5FG"/>
    <x v="69"/>
    <s v="Flat"/>
    <s v="Lease"/>
    <s v="Lets for Life"/>
    <d v="2028-04-02T00:00:00"/>
    <n v="171.86"/>
    <n v="90.04"/>
    <n v="261.90000000000003"/>
    <s v="Teignbridge"/>
    <x v="5"/>
    <n v="1"/>
    <s v="Single"/>
    <s v="Paul Dodd"/>
    <x v="0"/>
    <d v="2016-01-01T00:00:00"/>
    <m/>
    <m/>
  </r>
  <r>
    <s v="8 The Old Vicarage, 43 Fore Street, Kingskerswell, Newton Abbot, TQ12 5FG"/>
    <x v="69"/>
    <s v="Flat"/>
    <s v="Lease"/>
    <s v="Lets for Life"/>
    <d v="2028-04-02T00:00:00"/>
    <n v="171.86"/>
    <n v="90.04"/>
    <n v="261.90000000000003"/>
    <s v="Teignbridge"/>
    <x v="5"/>
    <n v="1"/>
    <s v="Single"/>
    <s v="Ellie Sewell"/>
    <x v="0"/>
    <d v="2017-07-12T00:00:00"/>
    <m/>
    <m/>
  </r>
  <r>
    <s v="9 The Old Vicarage, 43 Fore Street, Kingskerswell, Newton Abbot, TQ12 5FG"/>
    <x v="69"/>
    <s v="Flat"/>
    <s v="Lease"/>
    <s v="Lets for Life"/>
    <d v="2028-04-02T00:00:00"/>
    <n v="171.86"/>
    <n v="90.04"/>
    <n v="261.90000000000003"/>
    <s v="Teignbridge"/>
    <x v="5"/>
    <n v="1"/>
    <s v="Single"/>
    <s v="Diana Brown"/>
    <x v="0"/>
    <d v="2016-01-01T00:00:00"/>
    <m/>
    <m/>
  </r>
  <r>
    <s v="4 Garden Cottages, Little Paddocks, The Street, Little Clacton, Clacton-On-Sea, CO16 9LG"/>
    <x v="70"/>
    <s v="Bungalow"/>
    <s v="Lease"/>
    <s v="Lets for Life"/>
    <m/>
    <m/>
    <m/>
    <m/>
    <s v="Tendring"/>
    <x v="2"/>
    <n v="0"/>
    <s v="Single"/>
    <s v="Andie-Mae Smith"/>
    <x v="2"/>
    <d v="2015-12-16T00:00:00"/>
    <d v="2021-04-25T00:00:00"/>
    <s v="Disposal"/>
  </r>
  <r>
    <s v="1 Garden Cottages, Little Paddocks, The Street, Little Clacton, Clacton-On-Sea, CO16 9LG"/>
    <x v="70"/>
    <s v="Bungalow"/>
    <s v="Lease"/>
    <s v="Lets for Life"/>
    <d v="2018-09-30T00:00:00"/>
    <n v="220.79"/>
    <n v="64.13"/>
    <n v="284.91999999999996"/>
    <s v="Tendring"/>
    <x v="2"/>
    <n v="1"/>
    <s v="Single"/>
    <s v="Glen Alchin"/>
    <x v="0"/>
    <d v="2017-04-03T00:00:00"/>
    <m/>
    <m/>
  </r>
  <r>
    <s v="2 Garden Cottages, Little Paddocks, The Street, Little Clacton, Clacton-On-Sea, CO16 9LG"/>
    <x v="70"/>
    <s v="Bungalow"/>
    <s v="Lease"/>
    <s v="Lets for Life"/>
    <d v="2018-09-30T00:00:00"/>
    <n v="203.29"/>
    <n v="64.13"/>
    <n v="267.41999999999996"/>
    <s v="Tendring"/>
    <x v="2"/>
    <n v="1"/>
    <s v="Single"/>
    <s v="Roy Green"/>
    <x v="0"/>
    <d v="2017-08-14T00:00:00"/>
    <m/>
    <m/>
  </r>
  <r>
    <s v="3 Garden Cottages, Little Paddocks, The Street, Little Clacton, Clacton-On-Sea, CO16 9LG"/>
    <x v="70"/>
    <s v="Bungalow"/>
    <s v="Lease"/>
    <s v="Lets for Life"/>
    <d v="2018-09-30T00:00:00"/>
    <n v="232.36"/>
    <n v="66.64"/>
    <n v="299"/>
    <s v="Tendring"/>
    <x v="2"/>
    <n v="1"/>
    <s v="Single"/>
    <s v="Oskar Schormans"/>
    <x v="0"/>
    <d v="2016-11-01T00:00:00"/>
    <m/>
    <m/>
  </r>
  <r>
    <s v="31 Orchard Drive, Great Holland, Frinton On Sea, Essex, CO13 0SB"/>
    <x v="71"/>
    <s v="Bungalow"/>
    <s v="Owned"/>
    <s v="Lets for Life"/>
    <s v="N/A"/>
    <n v="417.9"/>
    <n v="153.72"/>
    <n v="571.62"/>
    <s v="Tendring"/>
    <x v="5"/>
    <n v="1"/>
    <s v="Single"/>
    <s v="Nathan Pettitt"/>
    <x v="0"/>
    <d v="2022-09-20T00:00:00"/>
    <m/>
    <m/>
  </r>
  <r>
    <s v="2 Newton Place, 32 Newton Road, Torquay, TQ2 5DF"/>
    <x v="72"/>
    <s v="Flat"/>
    <s v="Lease"/>
    <s v="Lets for Life"/>
    <d v="2028-04-02T00:00:00"/>
    <n v="195.81"/>
    <n v="61.420000000000009"/>
    <n v="257.23"/>
    <s v="Torbay"/>
    <x v="5"/>
    <n v="0"/>
    <s v="Single"/>
    <s v="Nicky Bryan"/>
    <x v="2"/>
    <d v="2015-09-01T00:00:00"/>
    <d v="2025-07-01T00:00:00"/>
    <s v="Property No Longer Suitable"/>
  </r>
  <r>
    <s v="4 Newton Place, 32 Newton Road, Torquay, TQ2 5DF"/>
    <x v="72"/>
    <s v="Flat"/>
    <s v="Lease"/>
    <s v="Lets for Life"/>
    <m/>
    <m/>
    <m/>
    <m/>
    <s v="Torbay"/>
    <x v="5"/>
    <n v="0"/>
    <s v="Single"/>
    <s v="Paul Barber"/>
    <x v="2"/>
    <d v="2015-09-01T00:00:00"/>
    <d v="2020-01-17T00:00:00"/>
    <s v="Support Needs Change"/>
  </r>
  <r>
    <s v="10 Newton Place, 32 Newton Road, Torquay, TQ2 5DF"/>
    <x v="72"/>
    <s v="Bungalow"/>
    <s v="Lease"/>
    <s v="Lets for Life"/>
    <m/>
    <m/>
    <m/>
    <m/>
    <s v="Torbay"/>
    <x v="5"/>
    <n v="0"/>
    <s v="Single"/>
    <s v="Luke Harvey"/>
    <x v="2"/>
    <d v="2015-09-01T00:00:00"/>
    <d v="2021-07-01T00:00:00"/>
    <s v="Support Needs Change"/>
  </r>
  <r>
    <s v="8 Newton Place, 32 Newton Road, Torquay, TQ2 5DF"/>
    <x v="72"/>
    <s v="Flat"/>
    <s v="Lease"/>
    <s v="Lets for Life"/>
    <m/>
    <m/>
    <m/>
    <m/>
    <s v="Torbay"/>
    <x v="5"/>
    <n v="0"/>
    <s v="Single"/>
    <s v="Nicholas Charnock"/>
    <x v="2"/>
    <d v="2015-09-01T00:00:00"/>
    <d v="2015-09-11T00:00:00"/>
    <s v="Tenant Died"/>
  </r>
  <r>
    <s v="9 Newton Place, 32 Newton Road, Torquay, TQ2 5DF"/>
    <x v="72"/>
    <s v="Flat"/>
    <s v="Lease"/>
    <s v="Lets for Life"/>
    <m/>
    <m/>
    <m/>
    <m/>
    <s v="Torbay"/>
    <x v="5"/>
    <n v="0"/>
    <s v="Single"/>
    <s v="Shelley Holmes"/>
    <x v="2"/>
    <d v="2016-03-01T00:00:00"/>
    <d v="2019-11-20T00:00:00"/>
    <s v="Property No Longer Suitable"/>
  </r>
  <r>
    <s v="7 Newton Place, 32 Newton Road, Torquay, TQ2 5DF"/>
    <x v="72"/>
    <s v="Flat"/>
    <s v="Lease"/>
    <s v="Lets for Life"/>
    <m/>
    <m/>
    <m/>
    <m/>
    <s v="Torbay"/>
    <x v="5"/>
    <n v="0"/>
    <s v="Single"/>
    <s v="Roger Crown"/>
    <x v="2"/>
    <d v="2016-03-01T00:00:00"/>
    <d v="2019-05-24T00:00:00"/>
    <s v="Support Needs Change"/>
  </r>
  <r>
    <s v="Flat 1, 4 Shirburn Road, Torquay, TQ1 3JH"/>
    <x v="73"/>
    <s v="Flat"/>
    <s v="Lease"/>
    <s v="Lets for Life"/>
    <m/>
    <m/>
    <m/>
    <m/>
    <s v="Torbay"/>
    <x v="5"/>
    <n v="0"/>
    <s v="Single"/>
    <s v="Daniel White"/>
    <x v="2"/>
    <d v="2016-04-26T00:00:00"/>
    <d v="2018-02-28T00:00:00"/>
    <s v="Disposal"/>
  </r>
  <r>
    <s v="3 Newton Place, 32 Newton Road, Torquay, TQ2 5DF"/>
    <x v="72"/>
    <s v="Flat"/>
    <s v="Lease"/>
    <s v="Lets for Life"/>
    <m/>
    <m/>
    <m/>
    <m/>
    <s v="Torbay"/>
    <x v="5"/>
    <n v="0"/>
    <s v="Single"/>
    <s v="Daniel Cooper"/>
    <x v="2"/>
    <d v="2016-09-01T00:00:00"/>
    <d v="2020-10-20T00:00:00"/>
    <s v="Support Needs Change"/>
  </r>
  <r>
    <s v="8 Newton Place, 32 Newton Road, Torquay, TQ2 5DF"/>
    <x v="72"/>
    <s v="Flat"/>
    <s v="Lease"/>
    <s v="Lets for Life"/>
    <m/>
    <m/>
    <m/>
    <m/>
    <s v="Torbay"/>
    <x v="5"/>
    <n v="0"/>
    <s v="Single"/>
    <s v="Luke Yale"/>
    <x v="2"/>
    <d v="2016-10-26T00:00:00"/>
    <d v="2017-01-09T00:00:00"/>
    <s v="Support Needs Change"/>
  </r>
  <r>
    <s v="Flat 2, 4 Shirburn Road, Torquay, TQ1 3JH"/>
    <x v="73"/>
    <s v="Flat"/>
    <s v="Lease"/>
    <s v="Lets for Life"/>
    <m/>
    <m/>
    <m/>
    <m/>
    <s v="Torbay"/>
    <x v="5"/>
    <n v="0"/>
    <s v="Single"/>
    <s v="Andrew Foster"/>
    <x v="2"/>
    <d v="2016-11-26T00:00:00"/>
    <d v="2017-04-22T00:00:00"/>
    <s v="Disposal"/>
  </r>
  <r>
    <s v="8 Newton Place, 32 Newton Road, Torquay, TQ2 5DF"/>
    <x v="72"/>
    <s v="Flat"/>
    <s v="Lease"/>
    <s v="Lets for Life"/>
    <m/>
    <m/>
    <m/>
    <m/>
    <s v="Torbay"/>
    <x v="5"/>
    <n v="0"/>
    <s v="Single"/>
    <s v="Chris Layng"/>
    <x v="2"/>
    <d v="2017-01-12T00:00:00"/>
    <d v="2024-01-20T00:00:00"/>
    <s v="Tenant Died"/>
  </r>
  <r>
    <s v="32 Reddenhill Road, Torquay, TQ1 3RQ"/>
    <x v="74"/>
    <s v="House"/>
    <s v="Lease"/>
    <s v="Lets for Life"/>
    <d v="2026-03-31T00:00:00"/>
    <n v="91.860000000000014"/>
    <n v="70.649999999999991"/>
    <n v="162.51"/>
    <s v="Torbay"/>
    <x v="5"/>
    <n v="1"/>
    <s v="Shared"/>
    <s v="Caroline Smith"/>
    <x v="2"/>
    <d v="2021-02-19T00:00:00"/>
    <m/>
    <m/>
  </r>
  <r>
    <s v="1 Pomeroy Avenue, Brixham, TQ5 8PN"/>
    <x v="75"/>
    <s v="Bungalow"/>
    <s v="Lease"/>
    <s v="Lets for Life"/>
    <m/>
    <m/>
    <m/>
    <m/>
    <s v="Torbay"/>
    <x v="5"/>
    <n v="0"/>
    <s v="Single"/>
    <s v="Mark Harvey"/>
    <x v="2"/>
    <d v="2021-11-29T00:00:00"/>
    <d v="2022-10-03T00:00:00"/>
    <s v="Disposal"/>
  </r>
  <r>
    <s v="10 Newton Place, 32 Newton Road, Torquay, TQ2 5DF"/>
    <x v="72"/>
    <s v="Bungalow"/>
    <s v="Lease"/>
    <s v="Lets for Life"/>
    <m/>
    <m/>
    <m/>
    <m/>
    <s v="Torbay"/>
    <x v="5"/>
    <n v="0"/>
    <s v="Single"/>
    <s v="Marnie Smith"/>
    <x v="2"/>
    <d v="2022-06-07T00:00:00"/>
    <d v="2024-09-14T00:00:00"/>
    <s v="Tenant Died"/>
  </r>
  <r>
    <s v="1 Newton Place, 32 Newton Road, Torquay, TQ2 5DF"/>
    <x v="72"/>
    <s v="Flat"/>
    <s v="Lease"/>
    <s v="Lets for Life"/>
    <d v="2028-04-02T00:00:00"/>
    <n v="217.08"/>
    <n v="99.99"/>
    <n v="317.07"/>
    <s v="Torbay"/>
    <x v="5"/>
    <n v="1"/>
    <s v="Single"/>
    <s v="Tim Langdon"/>
    <x v="0"/>
    <d v="2015-09-01T00:00:00"/>
    <m/>
    <m/>
  </r>
  <r>
    <s v="10 Newton Place, 32 Newton Road, Torquay, TQ2 5DF"/>
    <x v="72"/>
    <s v="Bungalow"/>
    <s v="Lease"/>
    <s v="Lets for Life"/>
    <d v="2028-04-02T00:00:00"/>
    <n v="217.69"/>
    <n v="118.4"/>
    <n v="336.09000000000003"/>
    <s v="Torbay"/>
    <x v="5"/>
    <n v="1"/>
    <s v="Single"/>
    <s v="Nicky Bryan"/>
    <x v="0"/>
    <d v="2025-07-01T00:00:00"/>
    <m/>
    <m/>
  </r>
  <r>
    <s v="2 Newton Place, 32 Newton Road, Torquay, TQ2 5DF"/>
    <x v="72"/>
    <s v="Flat"/>
    <s v="Lease"/>
    <s v="Lets for Life"/>
    <d v="2028-04-02T00:00:00"/>
    <n v="217.08"/>
    <n v="100.6"/>
    <n v="317.68"/>
    <s v="Torbay"/>
    <x v="5"/>
    <n v="1"/>
    <s v="Single"/>
    <s v="Samuel Clover"/>
    <x v="0"/>
    <d v="2025-08-11T00:00:00"/>
    <m/>
    <m/>
  </r>
  <r>
    <s v="3 Newton Place, 32 Newton Road, Torquay, TQ2 5DF"/>
    <x v="72"/>
    <s v="Flat"/>
    <s v="Lease"/>
    <s v="Lets for Life"/>
    <d v="2028-04-02T00:00:00"/>
    <n v="217.08"/>
    <n v="103.22"/>
    <n v="320.3"/>
    <s v="Torbay"/>
    <x v="5"/>
    <n v="1"/>
    <s v="Single"/>
    <s v="Terry Court"/>
    <x v="0"/>
    <d v="2021-01-18T00:00:00"/>
    <m/>
    <m/>
  </r>
  <r>
    <s v="32 Reddenhill Road, Torquay, TQ1 3RQ"/>
    <x v="74"/>
    <s v="House"/>
    <s v="Lease"/>
    <s v="Lets for Life"/>
    <d v="2026-03-31T00:00:00"/>
    <n v="94.35"/>
    <n v="72.55"/>
    <n v="166.89999999999998"/>
    <s v="Torbay"/>
    <x v="5"/>
    <n v="1"/>
    <s v="Shared"/>
    <s v="Janice Smaridge"/>
    <x v="0"/>
    <d v="2021-02-19T00:00:00"/>
    <m/>
    <m/>
  </r>
  <r>
    <s v="32 Reddenhill Road, Torquay, TQ1 3RQ"/>
    <x v="74"/>
    <s v="House"/>
    <s v="Lease"/>
    <s v="Lets for Life"/>
    <d v="2026-03-31T00:00:00"/>
    <n v="94.35"/>
    <n v="72.55"/>
    <n v="166.89999999999998"/>
    <s v="Torbay"/>
    <x v="5"/>
    <n v="1"/>
    <s v="Shared"/>
    <s v="Lisa Flynn"/>
    <x v="0"/>
    <d v="2021-02-19T00:00:00"/>
    <m/>
    <m/>
  </r>
  <r>
    <s v="32 Reddenhill Road, Torquay, TQ1 3RQ"/>
    <x v="74"/>
    <s v="House"/>
    <s v="Lease"/>
    <s v="Lets for Life"/>
    <d v="2026-03-31T00:00:00"/>
    <n v="94.35"/>
    <n v="72.55"/>
    <n v="166.89999999999998"/>
    <s v="Torbay"/>
    <x v="5"/>
    <n v="1"/>
    <s v="Shared"/>
    <s v="Susan Cox"/>
    <x v="0"/>
    <d v="2021-02-19T00:00:00"/>
    <m/>
    <m/>
  </r>
  <r>
    <s v="32 Reddenhill Road, Torquay, TQ1 3RQ"/>
    <x v="74"/>
    <s v="House"/>
    <s v="Lease"/>
    <s v="Lets for Life"/>
    <d v="2026-03-31T00:00:00"/>
    <n v="94.35"/>
    <n v="72.55"/>
    <n v="166.89999999999998"/>
    <s v="Torbay"/>
    <x v="5"/>
    <n v="1"/>
    <s v="Shared"/>
    <s v="Sarah McRae"/>
    <x v="0"/>
    <d v="2023-04-04T00:00:00"/>
    <m/>
    <m/>
  </r>
  <r>
    <s v="32 Reddenhill Road, Torquay, TQ1 3RQ"/>
    <x v="74"/>
    <s v="House"/>
    <s v="Lease"/>
    <s v="Lets for Life"/>
    <d v="2026-03-31T00:00:00"/>
    <n v="94.35"/>
    <n v="72.55"/>
    <n v="166.89999999999998"/>
    <s v="Torbay"/>
    <x v="5"/>
    <n v="1"/>
    <s v="Shared"/>
    <s v="Barnaby J Woods"/>
    <x v="0"/>
    <d v="2025-12-03T00:00:00"/>
    <m/>
    <m/>
  </r>
  <r>
    <s v="4 Newton Place, 32 Newton Road, Torquay, TQ2 5DF"/>
    <x v="72"/>
    <s v="Flat"/>
    <s v="Lease"/>
    <s v="Lets for Life"/>
    <d v="2028-04-02T00:00:00"/>
    <n v="171.86"/>
    <n v="93.93"/>
    <n v="265.79000000000002"/>
    <s v="Torbay"/>
    <x v="5"/>
    <n v="1"/>
    <s v="Single"/>
    <s v="Kelvin Marles"/>
    <x v="0"/>
    <d v="2020-04-14T00:00:00"/>
    <m/>
    <m/>
  </r>
  <r>
    <s v="5 Newton Place, 32 Newton Road, Torquay, TQ2 5DF"/>
    <x v="72"/>
    <s v="Flat"/>
    <s v="Lease"/>
    <s v="Lets for Life"/>
    <d v="2028-04-02T00:00:00"/>
    <n v="164.3"/>
    <n v="72.16"/>
    <n v="236.46"/>
    <s v="Torbay"/>
    <x v="5"/>
    <n v="1"/>
    <s v="Single"/>
    <s v="Adam Turner"/>
    <x v="0"/>
    <d v="2016-09-01T00:00:00"/>
    <m/>
    <m/>
  </r>
  <r>
    <s v="6 Newton Place, 32 Newton Road, Torquay, TQ2 5DF"/>
    <x v="72"/>
    <s v="Flat"/>
    <s v="Lease"/>
    <s v="Lets for Life"/>
    <d v="2028-04-02T00:00:00"/>
    <n v="217.08"/>
    <n v="99.99"/>
    <n v="317.07"/>
    <s v="Torbay"/>
    <x v="5"/>
    <n v="1"/>
    <s v="Single"/>
    <s v="Stephen Bickford"/>
    <x v="0"/>
    <d v="2015-09-01T00:00:00"/>
    <m/>
    <m/>
  </r>
  <r>
    <s v="7 Newton Place, 32 Newton Road, Torquay, TQ2 5DF"/>
    <x v="72"/>
    <s v="Flat"/>
    <s v="Lease"/>
    <s v="Lets for Life"/>
    <d v="2028-04-02T00:00:00"/>
    <n v="217.08"/>
    <n v="99.99"/>
    <n v="317.07"/>
    <s v="Torbay"/>
    <x v="5"/>
    <n v="1"/>
    <s v="Single"/>
    <s v="Doris Mounfield"/>
    <x v="0"/>
    <d v="2019-10-14T00:00:00"/>
    <m/>
    <m/>
  </r>
  <r>
    <s v="8 Newton Place, 32 Newton Road, Torquay, TQ2 5DF"/>
    <x v="72"/>
    <s v="Flat"/>
    <s v="Lease"/>
    <s v="Lets for Life"/>
    <d v="2028-04-02T00:00:00"/>
    <n v="217.08"/>
    <n v="99.99"/>
    <n v="317.07"/>
    <s v="Torbay"/>
    <x v="5"/>
    <n v="1"/>
    <s v="Single"/>
    <s v="Katie Leeson"/>
    <x v="0"/>
    <d v="2024-06-03T00:00:00"/>
    <m/>
    <m/>
  </r>
  <r>
    <s v="9 Newton Place, 32 Newton Road, Torquay, TQ2 5DF"/>
    <x v="72"/>
    <s v="Flat"/>
    <s v="Lease"/>
    <s v="Lets for Life"/>
    <d v="2028-04-02T00:00:00"/>
    <n v="171.86"/>
    <n v="93.93"/>
    <n v="265.79000000000002"/>
    <s v="Torbay"/>
    <x v="5"/>
    <n v="1"/>
    <s v="Single"/>
    <s v="Daniel Cooper"/>
    <x v="0"/>
    <d v="2020-10-21T00:00:00"/>
    <m/>
    <m/>
  </r>
  <r>
    <s v="Flat 2, Bronshill Court, Bronshill Road, Torquay, TQ1 3HD"/>
    <x v="76"/>
    <s v="Flat"/>
    <s v="Lease"/>
    <s v="Lets for Life"/>
    <d v="2036-04-09T00:00:00"/>
    <n v="512.25"/>
    <n v="153.58000000000001"/>
    <n v="665.83"/>
    <s v="Torbay"/>
    <x v="5"/>
    <n v="1"/>
    <s v="Single"/>
    <s v="Jack Barnes"/>
    <x v="0"/>
    <d v="2025-11-17T00:00:00"/>
    <m/>
    <m/>
  </r>
  <r>
    <s v="Flat 4, Bronshill Court, Bronshill Road, Torquay, TQ1 3HD"/>
    <x v="76"/>
    <s v="Flat"/>
    <s v="Lease"/>
    <s v="Lets for Life"/>
    <d v="2036-04-09T00:00:00"/>
    <n v="446.71"/>
    <n v="145.26"/>
    <n v="591.97"/>
    <s v="Torbay"/>
    <x v="5"/>
    <n v="1"/>
    <s v="Single"/>
    <s v="Hazel Moth"/>
    <x v="0"/>
    <d v="2025-11-10T00:00:00"/>
    <m/>
    <m/>
  </r>
  <r>
    <s v="Flat 5, Bronshill Court, Bronshill Road, Torquay, TQ1 3HD"/>
    <x v="76"/>
    <s v="Flat"/>
    <s v="Lease"/>
    <s v="Lets for Life"/>
    <d v="2036-04-09T00:00:00"/>
    <n v="446.71"/>
    <n v="145.26"/>
    <n v="591.97"/>
    <s v="Torbay"/>
    <x v="5"/>
    <n v="1"/>
    <s v="Single"/>
    <s v="Jasmine Kellett"/>
    <x v="0"/>
    <d v="2025-11-10T00:00:00"/>
    <m/>
    <m/>
  </r>
  <r>
    <s v="Flat 7, Bronshill Court, Bronshill Road, Torquay, TQ1 3HD"/>
    <x v="76"/>
    <s v="Flat"/>
    <s v="Lease"/>
    <s v="Lets for Life"/>
    <d v="2036-04-09T00:00:00"/>
    <n v="446.71"/>
    <n v="145.26"/>
    <n v="591.97"/>
    <s v="Torbay"/>
    <x v="5"/>
    <n v="1"/>
    <s v="Single"/>
    <s v="Leah Boughton"/>
    <x v="0"/>
    <d v="2026-01-05T00:00:00"/>
    <m/>
    <m/>
  </r>
  <r>
    <s v="Flat 8, Bronshill Court, Bronshill Road, Torquay, TQ1 3HD"/>
    <x v="76"/>
    <s v="Flat"/>
    <s v="Lease"/>
    <s v="Lets for Life"/>
    <d v="2036-04-09T00:00:00"/>
    <n v="446.71"/>
    <n v="145.26"/>
    <n v="591.97"/>
    <s v="Torbay"/>
    <x v="5"/>
    <n v="1"/>
    <s v="Single"/>
    <s v="Isaac Caddick"/>
    <x v="0"/>
    <d v="2025-11-10T00:00:00"/>
    <m/>
    <m/>
  </r>
  <r>
    <s v="8 Norley Avenue, Stretford, Trafford, M32 0TU"/>
    <x v="77"/>
    <s v="House"/>
    <s v="Lease"/>
    <s v="Lets for Life"/>
    <m/>
    <m/>
    <m/>
    <m/>
    <s v="Trafford"/>
    <x v="0"/>
    <n v="0"/>
    <s v="Shared"/>
    <s v="Adele Sherwin"/>
    <x v="2"/>
    <d v="2019-11-05T00:00:00"/>
    <d v="2021-02-13T00:00:00"/>
    <s v="Property No Longer Suitable"/>
  </r>
  <r>
    <s v="8 Norley Avenue, Stretford, Trafford, M32 0TU"/>
    <x v="77"/>
    <s v="House"/>
    <s v="Lease"/>
    <s v="Lets for Life"/>
    <m/>
    <m/>
    <m/>
    <m/>
    <s v="Trafford"/>
    <x v="0"/>
    <n v="0"/>
    <s v="Shared"/>
    <s v="Mary Hunter"/>
    <x v="2"/>
    <d v="2019-11-05T00:00:00"/>
    <d v="2024-04-15T00:00:00"/>
    <s v="Disposal"/>
  </r>
  <r>
    <s v="8 Norley Avenue, Stretford, Trafford, M32 0TU"/>
    <x v="77"/>
    <s v="House"/>
    <s v="Lease"/>
    <s v="Lets for Life"/>
    <m/>
    <m/>
    <m/>
    <m/>
    <s v="Trafford"/>
    <x v="0"/>
    <n v="0"/>
    <s v="Shared"/>
    <s v="Amber Downs"/>
    <x v="2"/>
    <d v="2022-03-27T00:00:00"/>
    <d v="2024-04-15T00:00:00"/>
    <s v="Disposal"/>
  </r>
  <r>
    <s v="Flat 2, 133 Marsland Road, Sale, M33 3NW"/>
    <x v="78"/>
    <s v="Flat"/>
    <s v="Lease"/>
    <s v="Lets for Life"/>
    <d v="2024-11-12T00:00:00"/>
    <n v="182.62"/>
    <n v="83.99"/>
    <n v="266.61"/>
    <s v="Trafford"/>
    <x v="0"/>
    <n v="1"/>
    <s v="Single"/>
    <s v="Naomi Wood"/>
    <x v="0"/>
    <d v="2020-06-08T00:00:00"/>
    <m/>
    <m/>
  </r>
  <r>
    <s v="Heathmoor Tan House Lane, Burtonwood, Warrington, WA5 4BY"/>
    <x v="79"/>
    <s v="Bungalow"/>
    <s v="Owned"/>
    <s v="Lets for Life"/>
    <s v="N/A"/>
    <n v="332.7"/>
    <n v="267.37"/>
    <n v="600.06999999999994"/>
    <s v="Warrington"/>
    <x v="0"/>
    <n v="1"/>
    <s v="Single"/>
    <s v="Jay Hardarce"/>
    <x v="0"/>
    <d v="2024-06-25T00:00:00"/>
    <m/>
    <m/>
  </r>
  <r>
    <s v="20 Rowan Avenue, Beech Hill, WN6 7RS"/>
    <x v="80"/>
    <s v="Bungalow"/>
    <s v="Lease"/>
    <s v="Lets for Life"/>
    <d v="2027-12-04T00:00:00"/>
    <n v="306.67"/>
    <n v="103.82"/>
    <n v="410.49"/>
    <s v="Wigan"/>
    <x v="0"/>
    <n v="1"/>
    <s v="Single"/>
    <s v="Alexander C Jones"/>
    <x v="0"/>
    <d v="2024-03-04T00:00:00"/>
    <m/>
    <m/>
  </r>
  <r>
    <s v="29 Cranberry Avenue, Wigan, WN6 7RR"/>
    <x v="81"/>
    <s v="Bungalow"/>
    <s v="Lease"/>
    <s v="Lets for Life"/>
    <d v="2026-01-17T00:00:00"/>
    <n v="348.48999999999995"/>
    <n v="108.08000000000001"/>
    <n v="456.56999999999994"/>
    <s v="Wigan"/>
    <x v="0"/>
    <n v="1"/>
    <s v="Single"/>
    <s v="Zoe Johnson"/>
    <x v="0"/>
    <d v="2025-01-17T00:00:00"/>
    <m/>
    <m/>
  </r>
  <r>
    <s v="32 Elnup Avenue, Shevington, Wigan, WN6 8AT"/>
    <x v="82"/>
    <s v="Bungalow"/>
    <s v="Lease"/>
    <s v="Lets for Life"/>
    <d v="2025-07-31T00:00:00"/>
    <n v="306.97000000000003"/>
    <n v="102.18"/>
    <n v="409.15000000000003"/>
    <s v="Wigan"/>
    <x v="0"/>
    <n v="1"/>
    <s v="Single"/>
    <s v="Natalia Bohdanova"/>
    <x v="0"/>
    <d v="2024-02-13T00:00:00"/>
    <m/>
    <m/>
  </r>
  <r>
    <s v="4 Arlington Drive, Wigan, WN7 3QN"/>
    <x v="83"/>
    <s v="Bungalow"/>
    <s v="Lease"/>
    <s v="Lets for Life"/>
    <d v="2027-05-06T00:00:00"/>
    <n v="225.19"/>
    <n v="58.49"/>
    <n v="283.68"/>
    <s v="Wigan"/>
    <x v="0"/>
    <n v="1"/>
    <s v="Single"/>
    <s v="Heathar Barrett"/>
    <x v="0"/>
    <d v="2015-11-02T00:00:00"/>
    <m/>
    <m/>
  </r>
  <r>
    <s v="9 Amberley Close, Wigan, WN2 1AR"/>
    <x v="84"/>
    <s v="Bungalow"/>
    <s v="Lease"/>
    <s v="Lets for Life"/>
    <d v="2032-03-01T00:00:00"/>
    <n v="322.92"/>
    <n v="104.2"/>
    <n v="427.12"/>
    <s v="Wigan"/>
    <x v="0"/>
    <n v="1"/>
    <s v="Single"/>
    <s v="Daniel Mark Ryan"/>
    <x v="0"/>
    <d v="2026-03-02T00:00:00"/>
    <m/>
    <m/>
  </r>
  <r>
    <s v="78 Coleridge Way, Crewe, Cheshire, CW1 5LE"/>
    <x v="85"/>
    <s v="Bungalow"/>
    <s v="Lease"/>
    <s v="Lets for Life"/>
    <d v="2026-04-20T00:00:00"/>
    <n v="547.04999999999995"/>
    <n v="140.15"/>
    <n v="687.19999999999993"/>
    <s v="Cheshire East"/>
    <x v="0"/>
    <n v="1"/>
    <s v="Single"/>
    <s v="Thomas Fitzgerald"/>
    <x v="0"/>
    <d v="2026-04-20T00:00:00"/>
    <m/>
    <m/>
  </r>
  <r>
    <s v="59 Avenue Clamart, Scunthorpe, DN15 8EQ"/>
    <x v="86"/>
    <s v="Bungalow"/>
    <s v="Lease"/>
    <s v="Ling Trust"/>
    <d v="2027-05-11T00:00:00"/>
    <n v="326"/>
    <n v="181.31"/>
    <n v="507.31"/>
    <s v="North Lincolnshire"/>
    <x v="1"/>
    <n v="1"/>
    <s v="Single"/>
    <s v="Ojas Kumar Prasad"/>
    <x v="0"/>
    <d v="2026-05-11T00:00:00"/>
    <m/>
    <m/>
  </r>
  <r>
    <s v="2 Rockville Place, Plymouth, PL9 7DG"/>
    <x v="47"/>
    <s v="House"/>
    <s v="Lease"/>
    <s v="Lets for Life"/>
    <d v="2026-05-18T00:00:00"/>
    <n v="332.5"/>
    <n v="133.07"/>
    <n v="465.57"/>
    <s v="Plymouth"/>
    <x v="5"/>
    <n v="1"/>
    <s v="Shared"/>
    <s v="Ian Lampshire"/>
    <x v="0"/>
    <d v="2026-05-18T00:00:00"/>
    <m/>
    <m/>
  </r>
  <r>
    <m/>
    <x v="87"/>
    <m/>
    <m/>
    <m/>
    <m/>
    <m/>
    <m/>
    <m/>
    <m/>
    <x v="6"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A4E1D-A24D-481F-892E-DC99714D8E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0" firstHeaderRow="1" firstDataRow="1" firstDataCol="1" rowPageCount="1" colPageCount="1"/>
  <pivotFields count="18">
    <pivotField showAll="0"/>
    <pivotField axis="axisRow" showAll="0">
      <items count="130">
        <item m="1" x="91"/>
        <item m="1" x="89"/>
        <item m="1" x="90"/>
        <item m="1" x="92"/>
        <item m="1" x="128"/>
        <item m="1" x="93"/>
        <item m="1" x="97"/>
        <item m="1" x="98"/>
        <item m="1" x="120"/>
        <item m="1" x="121"/>
        <item m="1" x="100"/>
        <item m="1" x="99"/>
        <item m="1" x="104"/>
        <item m="1" x="103"/>
        <item m="1" x="106"/>
        <item m="1" x="105"/>
        <item m="1" x="102"/>
        <item m="1" x="101"/>
        <item m="1" x="107"/>
        <item m="1" x="108"/>
        <item m="1" x="109"/>
        <item m="1" x="110"/>
        <item m="1" x="111"/>
        <item m="1" x="114"/>
        <item m="1" x="112"/>
        <item m="1" x="113"/>
        <item m="1" x="119"/>
        <item m="1" x="116"/>
        <item m="1" x="117"/>
        <item m="1" x="115"/>
        <item m="1" x="118"/>
        <item m="1" x="122"/>
        <item m="1" x="94"/>
        <item m="1" x="96"/>
        <item m="1" x="95"/>
        <item m="1" x="127"/>
        <item m="1" x="124"/>
        <item m="1" x="123"/>
        <item m="1" x="125"/>
        <item m="1" x="126"/>
        <item x="0"/>
        <item x="1"/>
        <item x="8"/>
        <item x="10"/>
        <item x="7"/>
        <item x="9"/>
        <item x="6"/>
        <item x="4"/>
        <item x="11"/>
        <item x="2"/>
        <item x="5"/>
        <item x="3"/>
        <item x="42"/>
        <item x="43"/>
        <item x="16"/>
        <item x="20"/>
        <item x="17"/>
        <item x="21"/>
        <item x="18"/>
        <item x="71"/>
        <item x="70"/>
        <item x="13"/>
        <item x="12"/>
        <item x="15"/>
        <item x="19"/>
        <item x="86"/>
        <item x="34"/>
        <item x="35"/>
        <item x="32"/>
        <item x="36"/>
        <item x="30"/>
        <item x="38"/>
        <item x="39"/>
        <item x="33"/>
        <item x="40"/>
        <item x="31"/>
        <item x="37"/>
        <item x="44"/>
        <item x="59"/>
        <item x="53"/>
        <item x="54"/>
        <item x="55"/>
        <item x="62"/>
        <item x="14"/>
        <item x="66"/>
        <item x="63"/>
        <item x="69"/>
        <item x="68"/>
        <item x="87"/>
        <item x="22"/>
        <item x="23"/>
        <item x="24"/>
        <item x="25"/>
        <item x="26"/>
        <item x="27"/>
        <item x="28"/>
        <item x="29"/>
        <item x="41"/>
        <item x="45"/>
        <item x="46"/>
        <item x="47"/>
        <item m="1" x="88"/>
        <item x="49"/>
        <item x="50"/>
        <item x="51"/>
        <item x="52"/>
        <item x="56"/>
        <item x="57"/>
        <item x="58"/>
        <item x="60"/>
        <item x="61"/>
        <item x="64"/>
        <item x="65"/>
        <item x="67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0"/>
        <item x="2"/>
        <item x="5"/>
        <item x="1"/>
        <item x="6"/>
        <item t="default"/>
      </items>
    </pivotField>
    <pivotField dataField="1" showAll="0"/>
    <pivotField showAll="0"/>
    <pivotField showAll="0"/>
    <pivotField axis="axisPage" multipleItemSelectionAllowed="1" showAll="0">
      <items count="6">
        <item x="0"/>
        <item h="1" x="2"/>
        <item h="1" x="1"/>
        <item x="3"/>
        <item h="1" x="4"/>
        <item t="default"/>
      </items>
    </pivotField>
    <pivotField showAll="0"/>
    <pivotField showAll="0"/>
    <pivotField showAll="0"/>
  </pivotFields>
  <rowFields count="2">
    <field x="10"/>
    <field x="1"/>
  </rowFields>
  <rowItems count="87">
    <i>
      <x/>
    </i>
    <i r="1">
      <x v="77"/>
    </i>
    <i r="1">
      <x v="98"/>
    </i>
    <i r="1">
      <x v="99"/>
    </i>
    <i>
      <x v="1"/>
    </i>
    <i r="1">
      <x v="85"/>
    </i>
    <i r="1">
      <x v="97"/>
    </i>
    <i>
      <x v="2"/>
    </i>
    <i r="1">
      <x v="40"/>
    </i>
    <i r="1">
      <x v="54"/>
    </i>
    <i r="1">
      <x v="55"/>
    </i>
    <i r="1">
      <x v="56"/>
    </i>
    <i r="1">
      <x v="57"/>
    </i>
    <i r="1">
      <x v="58"/>
    </i>
    <i r="1">
      <x v="61"/>
    </i>
    <i r="1">
      <x v="62"/>
    </i>
    <i r="1">
      <x v="63"/>
    </i>
    <i r="1">
      <x v="64"/>
    </i>
    <i r="1">
      <x v="83"/>
    </i>
    <i r="1">
      <x v="84"/>
    </i>
    <i r="1">
      <x v="89"/>
    </i>
    <i r="1">
      <x v="92"/>
    </i>
    <i r="1">
      <x v="93"/>
    </i>
    <i r="1">
      <x v="94"/>
    </i>
    <i r="1">
      <x v="95"/>
    </i>
    <i r="1">
      <x v="96"/>
    </i>
    <i r="1">
      <x v="111"/>
    </i>
    <i r="1">
      <x v="112"/>
    </i>
    <i r="1">
      <x v="113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3"/>
    </i>
    <i r="1">
      <x v="52"/>
    </i>
    <i r="1">
      <x v="53"/>
    </i>
    <i r="1">
      <x v="60"/>
    </i>
    <i r="1">
      <x v="91"/>
    </i>
    <i>
      <x v="4"/>
    </i>
    <i r="1">
      <x v="59"/>
    </i>
    <i r="1">
      <x v="86"/>
    </i>
    <i r="1">
      <x v="100"/>
    </i>
    <i r="1">
      <x v="104"/>
    </i>
    <i r="1">
      <x v="105"/>
    </i>
    <i r="1">
      <x v="114"/>
    </i>
    <i r="1">
      <x v="116"/>
    </i>
    <i r="1">
      <x v="118"/>
    </i>
    <i r="1">
      <x v="128"/>
    </i>
    <i>
      <x v="5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0"/>
    </i>
    <i r="1">
      <x v="81"/>
    </i>
    <i r="1">
      <x v="82"/>
    </i>
    <i r="1">
      <x v="87"/>
    </i>
    <i r="1">
      <x v="106"/>
    </i>
    <i r="1">
      <x v="107"/>
    </i>
    <i r="1">
      <x v="108"/>
    </i>
    <i r="1">
      <x v="109"/>
    </i>
    <i r="1">
      <x v="110"/>
    </i>
    <i t="grand">
      <x/>
    </i>
  </rowItems>
  <colItems count="1">
    <i/>
  </colItems>
  <pageFields count="1">
    <pageField fld="14" hier="-1"/>
  </pageFields>
  <dataFields count="1">
    <dataField name="Sum of C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D31B-8EFC-4303-834F-DD378DD5918F}">
  <dimension ref="A1:B90"/>
  <sheetViews>
    <sheetView workbookViewId="0">
      <selection activeCell="A89" sqref="A89"/>
    </sheetView>
  </sheetViews>
  <sheetFormatPr defaultRowHeight="15" x14ac:dyDescent="0.25"/>
  <cols>
    <col min="1" max="1" width="14.42578125" bestFit="1" customWidth="1"/>
    <col min="2" max="2" width="16.42578125" bestFit="1" customWidth="1"/>
    <col min="3" max="3" width="8.140625" bestFit="1" customWidth="1"/>
    <col min="4" max="4" width="8.5703125" bestFit="1" customWidth="1"/>
    <col min="5" max="6" width="8.42578125" bestFit="1" customWidth="1"/>
    <col min="7" max="7" width="8" bestFit="1" customWidth="1"/>
    <col min="8" max="9" width="7.85546875" bestFit="1" customWidth="1"/>
    <col min="11" max="11" width="9.5703125" bestFit="1" customWidth="1"/>
    <col min="12" max="12" width="9" bestFit="1" customWidth="1"/>
    <col min="13" max="13" width="8.140625" bestFit="1" customWidth="1"/>
    <col min="14" max="15" width="8" bestFit="1" customWidth="1"/>
    <col min="16" max="16" width="7.140625" bestFit="1" customWidth="1"/>
    <col min="17" max="17" width="7.28515625" bestFit="1" customWidth="1"/>
    <col min="18" max="18" width="7.5703125" bestFit="1" customWidth="1"/>
    <col min="19" max="19" width="8.140625" bestFit="1" customWidth="1"/>
    <col min="20" max="20" width="7.85546875" bestFit="1" customWidth="1"/>
    <col min="21" max="21" width="7.5703125" bestFit="1" customWidth="1"/>
    <col min="22" max="23" width="7.85546875" bestFit="1" customWidth="1"/>
    <col min="24" max="24" width="8" bestFit="1" customWidth="1"/>
    <col min="25" max="25" width="8.140625" bestFit="1" customWidth="1"/>
    <col min="26" max="26" width="7.5703125" bestFit="1" customWidth="1"/>
    <col min="27" max="27" width="8.140625" bestFit="1" customWidth="1"/>
    <col min="28" max="28" width="8.5703125" bestFit="1" customWidth="1"/>
    <col min="29" max="29" width="8" bestFit="1" customWidth="1"/>
    <col min="30" max="30" width="8.5703125" bestFit="1" customWidth="1"/>
    <col min="31" max="31" width="8.28515625" bestFit="1" customWidth="1"/>
    <col min="32" max="32" width="8.42578125" bestFit="1" customWidth="1"/>
    <col min="33" max="33" width="8.85546875" bestFit="1" customWidth="1"/>
    <col min="34" max="34" width="9" bestFit="1" customWidth="1"/>
    <col min="35" max="35" width="9.42578125" bestFit="1" customWidth="1"/>
    <col min="36" max="36" width="8.85546875" bestFit="1" customWidth="1"/>
    <col min="37" max="37" width="9.140625" bestFit="1" customWidth="1"/>
    <col min="38" max="38" width="9" bestFit="1" customWidth="1"/>
    <col min="39" max="39" width="8.85546875" bestFit="1" customWidth="1"/>
    <col min="40" max="40" width="9" bestFit="1" customWidth="1"/>
    <col min="41" max="41" width="9.42578125" bestFit="1" customWidth="1"/>
    <col min="42" max="42" width="7.5703125" bestFit="1" customWidth="1"/>
    <col min="43" max="43" width="8" bestFit="1" customWidth="1"/>
    <col min="44" max="44" width="8.140625" bestFit="1" customWidth="1"/>
    <col min="45" max="45" width="9.140625" bestFit="1" customWidth="1"/>
    <col min="46" max="46" width="9.28515625" bestFit="1" customWidth="1"/>
    <col min="47" max="47" width="9.5703125" bestFit="1" customWidth="1"/>
    <col min="48" max="48" width="7.140625" bestFit="1" customWidth="1"/>
    <col min="49" max="49" width="8.5703125" bestFit="1" customWidth="1"/>
    <col min="50" max="50" width="9.140625" bestFit="1" customWidth="1"/>
    <col min="51" max="51" width="7.140625" bestFit="1" customWidth="1"/>
    <col min="52" max="52" width="7.7109375" bestFit="1" customWidth="1"/>
    <col min="53" max="53" width="7.5703125" bestFit="1" customWidth="1"/>
    <col min="54" max="54" width="8.85546875" bestFit="1" customWidth="1"/>
    <col min="55" max="55" width="8.5703125" bestFit="1" customWidth="1"/>
    <col min="56" max="57" width="8.140625" bestFit="1" customWidth="1"/>
    <col min="58" max="58" width="9.140625" bestFit="1" customWidth="1"/>
    <col min="59" max="59" width="8.42578125" bestFit="1" customWidth="1"/>
    <col min="60" max="60" width="8.85546875" bestFit="1" customWidth="1"/>
    <col min="62" max="62" width="8.85546875" bestFit="1" customWidth="1"/>
    <col min="63" max="63" width="8.140625" bestFit="1" customWidth="1"/>
    <col min="64" max="64" width="9.42578125" bestFit="1" customWidth="1"/>
    <col min="65" max="65" width="9.140625" bestFit="1" customWidth="1"/>
    <col min="66" max="66" width="8.5703125" bestFit="1" customWidth="1"/>
    <col min="67" max="67" width="9.140625" bestFit="1" customWidth="1"/>
    <col min="68" max="68" width="8.140625" bestFit="1" customWidth="1"/>
    <col min="69" max="69" width="8.42578125" bestFit="1" customWidth="1"/>
    <col min="70" max="71" width="8.28515625" bestFit="1" customWidth="1"/>
    <col min="72" max="73" width="7.7109375" bestFit="1" customWidth="1"/>
    <col min="74" max="75" width="8" bestFit="1" customWidth="1"/>
    <col min="76" max="76" width="8.5703125" bestFit="1" customWidth="1"/>
    <col min="77" max="77" width="9" bestFit="1" customWidth="1"/>
    <col min="78" max="78" width="8.28515625" bestFit="1" customWidth="1"/>
    <col min="80" max="80" width="6.42578125" bestFit="1" customWidth="1"/>
    <col min="81" max="81" width="6.5703125" bestFit="1" customWidth="1"/>
    <col min="82" max="82" width="6.42578125" bestFit="1" customWidth="1"/>
    <col min="83" max="83" width="7.140625" bestFit="1" customWidth="1"/>
    <col min="84" max="84" width="6.140625" bestFit="1" customWidth="1"/>
    <col min="85" max="85" width="8" bestFit="1" customWidth="1"/>
    <col min="86" max="86" width="7.5703125" bestFit="1" customWidth="1"/>
    <col min="87" max="87" width="8" bestFit="1" customWidth="1"/>
    <col min="88" max="88" width="8.85546875" bestFit="1" customWidth="1"/>
    <col min="89" max="89" width="8.140625" bestFit="1" customWidth="1"/>
    <col min="90" max="90" width="6.7109375" bestFit="1" customWidth="1"/>
    <col min="91" max="91" width="10.7109375" bestFit="1" customWidth="1"/>
  </cols>
  <sheetData>
    <row r="1" spans="1:2" x14ac:dyDescent="0.25">
      <c r="A1" s="63" t="s">
        <v>11</v>
      </c>
      <c r="B1" t="s">
        <v>251</v>
      </c>
    </row>
    <row r="3" spans="1:2" x14ac:dyDescent="0.25">
      <c r="A3" s="63" t="s">
        <v>248</v>
      </c>
      <c r="B3" t="s">
        <v>250</v>
      </c>
    </row>
    <row r="4" spans="1:2" x14ac:dyDescent="0.25">
      <c r="A4" s="1" t="s">
        <v>178</v>
      </c>
      <c r="B4">
        <v>3</v>
      </c>
    </row>
    <row r="5" spans="1:2" x14ac:dyDescent="0.25">
      <c r="A5" s="64" t="s">
        <v>224</v>
      </c>
      <c r="B5">
        <v>1</v>
      </c>
    </row>
    <row r="6" spans="1:2" x14ac:dyDescent="0.25">
      <c r="A6" s="64" t="s">
        <v>260</v>
      </c>
      <c r="B6">
        <v>1</v>
      </c>
    </row>
    <row r="7" spans="1:2" x14ac:dyDescent="0.25">
      <c r="A7" s="64" t="s">
        <v>261</v>
      </c>
      <c r="B7">
        <v>1</v>
      </c>
    </row>
    <row r="8" spans="1:2" x14ac:dyDescent="0.25">
      <c r="A8" s="1" t="s">
        <v>3</v>
      </c>
      <c r="B8">
        <v>10</v>
      </c>
    </row>
    <row r="9" spans="1:2" x14ac:dyDescent="0.25">
      <c r="A9" s="64" t="s">
        <v>225</v>
      </c>
      <c r="B9">
        <v>1</v>
      </c>
    </row>
    <row r="10" spans="1:2" x14ac:dyDescent="0.25">
      <c r="A10" s="64" t="s">
        <v>259</v>
      </c>
      <c r="B10">
        <v>9</v>
      </c>
    </row>
    <row r="11" spans="1:2" x14ac:dyDescent="0.25">
      <c r="A11" s="1" t="s">
        <v>1</v>
      </c>
      <c r="B11">
        <v>38</v>
      </c>
    </row>
    <row r="12" spans="1:2" x14ac:dyDescent="0.25">
      <c r="A12" s="64" t="s">
        <v>231</v>
      </c>
      <c r="B12">
        <v>1</v>
      </c>
    </row>
    <row r="13" spans="1:2" x14ac:dyDescent="0.25">
      <c r="A13" s="64" t="s">
        <v>245</v>
      </c>
      <c r="B13">
        <v>1</v>
      </c>
    </row>
    <row r="14" spans="1:2" x14ac:dyDescent="0.25">
      <c r="A14" s="64" t="s">
        <v>247</v>
      </c>
      <c r="B14">
        <v>2</v>
      </c>
    </row>
    <row r="15" spans="1:2" x14ac:dyDescent="0.25">
      <c r="A15" s="64" t="s">
        <v>208</v>
      </c>
      <c r="B15">
        <v>1</v>
      </c>
    </row>
    <row r="16" spans="1:2" x14ac:dyDescent="0.25">
      <c r="A16" s="64" t="s">
        <v>210</v>
      </c>
      <c r="B16">
        <v>1</v>
      </c>
    </row>
    <row r="17" spans="1:2" x14ac:dyDescent="0.25">
      <c r="A17" s="64" t="s">
        <v>209</v>
      </c>
      <c r="B17">
        <v>1</v>
      </c>
    </row>
    <row r="18" spans="1:2" x14ac:dyDescent="0.25">
      <c r="A18" s="64" t="s">
        <v>244</v>
      </c>
      <c r="B18">
        <v>1</v>
      </c>
    </row>
    <row r="19" spans="1:2" x14ac:dyDescent="0.25">
      <c r="A19" s="64" t="s">
        <v>205</v>
      </c>
      <c r="B19">
        <v>1</v>
      </c>
    </row>
    <row r="20" spans="1:2" x14ac:dyDescent="0.25">
      <c r="A20" s="64" t="s">
        <v>207</v>
      </c>
      <c r="B20">
        <v>6</v>
      </c>
    </row>
    <row r="21" spans="1:2" x14ac:dyDescent="0.25">
      <c r="A21" s="64" t="s">
        <v>246</v>
      </c>
      <c r="B21">
        <v>1</v>
      </c>
    </row>
    <row r="22" spans="1:2" x14ac:dyDescent="0.25">
      <c r="A22" s="64" t="s">
        <v>206</v>
      </c>
      <c r="B22">
        <v>1</v>
      </c>
    </row>
    <row r="23" spans="1:2" x14ac:dyDescent="0.25">
      <c r="A23" s="64" t="s">
        <v>237</v>
      </c>
      <c r="B23">
        <v>1</v>
      </c>
    </row>
    <row r="24" spans="1:2" x14ac:dyDescent="0.25">
      <c r="A24" s="64" t="s">
        <v>252</v>
      </c>
      <c r="B24">
        <v>2</v>
      </c>
    </row>
    <row r="25" spans="1:2" x14ac:dyDescent="0.25">
      <c r="A25" s="64" t="s">
        <v>254</v>
      </c>
      <c r="B25">
        <v>1</v>
      </c>
    </row>
    <row r="26" spans="1:2" x14ac:dyDescent="0.25">
      <c r="A26" s="64" t="s">
        <v>255</v>
      </c>
      <c r="B26">
        <v>1</v>
      </c>
    </row>
    <row r="27" spans="1:2" x14ac:dyDescent="0.25">
      <c r="A27" s="64" t="s">
        <v>256</v>
      </c>
      <c r="B27">
        <v>2</v>
      </c>
    </row>
    <row r="28" spans="1:2" x14ac:dyDescent="0.25">
      <c r="A28" s="64" t="s">
        <v>257</v>
      </c>
      <c r="B28">
        <v>1</v>
      </c>
    </row>
    <row r="29" spans="1:2" x14ac:dyDescent="0.25">
      <c r="A29" s="64" t="s">
        <v>258</v>
      </c>
      <c r="B29">
        <v>1</v>
      </c>
    </row>
    <row r="30" spans="1:2" x14ac:dyDescent="0.25">
      <c r="A30" s="64" t="s">
        <v>270</v>
      </c>
      <c r="B30">
        <v>1</v>
      </c>
    </row>
    <row r="31" spans="1:2" x14ac:dyDescent="0.25">
      <c r="A31" s="64" t="s">
        <v>271</v>
      </c>
      <c r="B31">
        <v>2</v>
      </c>
    </row>
    <row r="32" spans="1:2" x14ac:dyDescent="0.25">
      <c r="A32" s="64" t="s">
        <v>272</v>
      </c>
      <c r="B32">
        <v>1</v>
      </c>
    </row>
    <row r="33" spans="1:2" x14ac:dyDescent="0.25">
      <c r="A33" s="64" t="s">
        <v>276</v>
      </c>
      <c r="B33">
        <v>1</v>
      </c>
    </row>
    <row r="34" spans="1:2" x14ac:dyDescent="0.25">
      <c r="A34" s="64" t="s">
        <v>277</v>
      </c>
      <c r="B34">
        <v>1</v>
      </c>
    </row>
    <row r="35" spans="1:2" x14ac:dyDescent="0.25">
      <c r="A35" s="64" t="s">
        <v>278</v>
      </c>
      <c r="B35">
        <v>1</v>
      </c>
    </row>
    <row r="36" spans="1:2" x14ac:dyDescent="0.25">
      <c r="A36" s="64" t="s">
        <v>279</v>
      </c>
      <c r="B36">
        <v>1</v>
      </c>
    </row>
    <row r="37" spans="1:2" x14ac:dyDescent="0.25">
      <c r="A37" s="64" t="s">
        <v>280</v>
      </c>
      <c r="B37">
        <v>1</v>
      </c>
    </row>
    <row r="38" spans="1:2" x14ac:dyDescent="0.25">
      <c r="A38" s="64" t="s">
        <v>281</v>
      </c>
      <c r="B38">
        <v>1</v>
      </c>
    </row>
    <row r="39" spans="1:2" x14ac:dyDescent="0.25">
      <c r="A39" s="64" t="s">
        <v>282</v>
      </c>
      <c r="B39">
        <v>1</v>
      </c>
    </row>
    <row r="40" spans="1:2" x14ac:dyDescent="0.25">
      <c r="A40" s="64" t="s">
        <v>283</v>
      </c>
      <c r="B40">
        <v>1</v>
      </c>
    </row>
    <row r="41" spans="1:2" x14ac:dyDescent="0.25">
      <c r="A41" s="1" t="s">
        <v>4</v>
      </c>
      <c r="B41">
        <v>6</v>
      </c>
    </row>
    <row r="42" spans="1:2" x14ac:dyDescent="0.25">
      <c r="A42" s="64" t="s">
        <v>222</v>
      </c>
      <c r="B42">
        <v>1</v>
      </c>
    </row>
    <row r="43" spans="1:2" x14ac:dyDescent="0.25">
      <c r="A43" s="64" t="s">
        <v>223</v>
      </c>
      <c r="B43">
        <v>1</v>
      </c>
    </row>
    <row r="44" spans="1:2" x14ac:dyDescent="0.25">
      <c r="A44" s="64" t="s">
        <v>228</v>
      </c>
      <c r="B44">
        <v>3</v>
      </c>
    </row>
    <row r="45" spans="1:2" x14ac:dyDescent="0.25">
      <c r="A45" s="64" t="s">
        <v>253</v>
      </c>
      <c r="B45">
        <v>1</v>
      </c>
    </row>
    <row r="46" spans="1:2" x14ac:dyDescent="0.25">
      <c r="A46" s="1" t="s">
        <v>5</v>
      </c>
      <c r="B46">
        <v>45</v>
      </c>
    </row>
    <row r="47" spans="1:2" x14ac:dyDescent="0.25">
      <c r="A47" s="64" t="s">
        <v>229</v>
      </c>
      <c r="B47">
        <v>1</v>
      </c>
    </row>
    <row r="48" spans="1:2" x14ac:dyDescent="0.25">
      <c r="A48" s="64" t="s">
        <v>227</v>
      </c>
      <c r="B48">
        <v>11</v>
      </c>
    </row>
    <row r="49" spans="1:2" x14ac:dyDescent="0.25">
      <c r="A49" s="64" t="s">
        <v>262</v>
      </c>
      <c r="B49">
        <v>10</v>
      </c>
    </row>
    <row r="50" spans="1:2" x14ac:dyDescent="0.25">
      <c r="A50" s="64" t="s">
        <v>263</v>
      </c>
      <c r="B50">
        <v>1</v>
      </c>
    </row>
    <row r="51" spans="1:2" x14ac:dyDescent="0.25">
      <c r="A51" s="64" t="s">
        <v>264</v>
      </c>
      <c r="B51">
        <v>1</v>
      </c>
    </row>
    <row r="52" spans="1:2" x14ac:dyDescent="0.25">
      <c r="A52" s="64" t="s">
        <v>273</v>
      </c>
      <c r="B52">
        <v>10</v>
      </c>
    </row>
    <row r="53" spans="1:2" x14ac:dyDescent="0.25">
      <c r="A53" s="64" t="s">
        <v>274</v>
      </c>
      <c r="B53">
        <v>5</v>
      </c>
    </row>
    <row r="54" spans="1:2" x14ac:dyDescent="0.25">
      <c r="A54" s="64" t="s">
        <v>275</v>
      </c>
      <c r="B54">
        <v>5</v>
      </c>
    </row>
    <row r="55" spans="1:2" x14ac:dyDescent="0.25">
      <c r="A55" s="64" t="s">
        <v>284</v>
      </c>
      <c r="B55">
        <v>1</v>
      </c>
    </row>
    <row r="56" spans="1:2" x14ac:dyDescent="0.25">
      <c r="A56" s="1" t="s">
        <v>2</v>
      </c>
      <c r="B56">
        <v>60</v>
      </c>
    </row>
    <row r="57" spans="1:2" x14ac:dyDescent="0.25">
      <c r="A57" s="64" t="s">
        <v>239</v>
      </c>
      <c r="B57">
        <v>3</v>
      </c>
    </row>
    <row r="58" spans="1:2" x14ac:dyDescent="0.25">
      <c r="A58" s="64" t="s">
        <v>202</v>
      </c>
      <c r="B58">
        <v>1</v>
      </c>
    </row>
    <row r="59" spans="1:2" x14ac:dyDescent="0.25">
      <c r="A59" s="64" t="s">
        <v>201</v>
      </c>
      <c r="B59">
        <v>1</v>
      </c>
    </row>
    <row r="60" spans="1:2" x14ac:dyDescent="0.25">
      <c r="A60" s="64" t="s">
        <v>203</v>
      </c>
      <c r="B60">
        <v>3</v>
      </c>
    </row>
    <row r="61" spans="1:2" x14ac:dyDescent="0.25">
      <c r="A61" s="64" t="s">
        <v>243</v>
      </c>
      <c r="B61">
        <v>1</v>
      </c>
    </row>
    <row r="62" spans="1:2" x14ac:dyDescent="0.25">
      <c r="A62" s="64" t="s">
        <v>200</v>
      </c>
      <c r="B62">
        <v>3</v>
      </c>
    </row>
    <row r="63" spans="1:2" x14ac:dyDescent="0.25">
      <c r="A63" s="64" t="s">
        <v>204</v>
      </c>
      <c r="B63">
        <v>3</v>
      </c>
    </row>
    <row r="64" spans="1:2" x14ac:dyDescent="0.25">
      <c r="A64" s="64" t="s">
        <v>240</v>
      </c>
      <c r="B64">
        <v>1</v>
      </c>
    </row>
    <row r="65" spans="1:2" x14ac:dyDescent="0.25">
      <c r="A65" s="64" t="s">
        <v>242</v>
      </c>
      <c r="B65">
        <v>1</v>
      </c>
    </row>
    <row r="66" spans="1:2" x14ac:dyDescent="0.25">
      <c r="A66" s="64" t="s">
        <v>241</v>
      </c>
      <c r="B66">
        <v>1</v>
      </c>
    </row>
    <row r="67" spans="1:2" x14ac:dyDescent="0.25">
      <c r="A67" s="64" t="s">
        <v>230</v>
      </c>
      <c r="B67">
        <v>1</v>
      </c>
    </row>
    <row r="68" spans="1:2" x14ac:dyDescent="0.25">
      <c r="A68" s="64" t="s">
        <v>215</v>
      </c>
      <c r="B68">
        <v>4</v>
      </c>
    </row>
    <row r="69" spans="1:2" x14ac:dyDescent="0.25">
      <c r="A69" s="64" t="s">
        <v>216</v>
      </c>
      <c r="B69">
        <v>1</v>
      </c>
    </row>
    <row r="70" spans="1:2" x14ac:dyDescent="0.25">
      <c r="A70" s="64" t="s">
        <v>213</v>
      </c>
      <c r="B70">
        <v>1</v>
      </c>
    </row>
    <row r="71" spans="1:2" x14ac:dyDescent="0.25">
      <c r="A71" s="64" t="s">
        <v>217</v>
      </c>
      <c r="B71">
        <v>1</v>
      </c>
    </row>
    <row r="72" spans="1:2" x14ac:dyDescent="0.25">
      <c r="A72" s="64" t="s">
        <v>211</v>
      </c>
      <c r="B72">
        <v>1</v>
      </c>
    </row>
    <row r="73" spans="1:2" x14ac:dyDescent="0.25">
      <c r="A73" s="64" t="s">
        <v>219</v>
      </c>
      <c r="B73">
        <v>1</v>
      </c>
    </row>
    <row r="74" spans="1:2" x14ac:dyDescent="0.25">
      <c r="A74" s="64" t="s">
        <v>220</v>
      </c>
      <c r="B74">
        <v>1</v>
      </c>
    </row>
    <row r="75" spans="1:2" x14ac:dyDescent="0.25">
      <c r="A75" s="64" t="s">
        <v>214</v>
      </c>
      <c r="B75">
        <v>1</v>
      </c>
    </row>
    <row r="76" spans="1:2" x14ac:dyDescent="0.25">
      <c r="A76" s="64" t="s">
        <v>221</v>
      </c>
      <c r="B76">
        <v>1</v>
      </c>
    </row>
    <row r="77" spans="1:2" x14ac:dyDescent="0.25">
      <c r="A77" s="64" t="s">
        <v>212</v>
      </c>
      <c r="B77">
        <v>1</v>
      </c>
    </row>
    <row r="78" spans="1:2" x14ac:dyDescent="0.25">
      <c r="A78" s="64" t="s">
        <v>218</v>
      </c>
      <c r="B78">
        <v>1</v>
      </c>
    </row>
    <row r="79" spans="1:2" x14ac:dyDescent="0.25">
      <c r="A79" s="64" t="s">
        <v>235</v>
      </c>
      <c r="B79">
        <v>1</v>
      </c>
    </row>
    <row r="80" spans="1:2" x14ac:dyDescent="0.25">
      <c r="A80" s="64" t="s">
        <v>232</v>
      </c>
      <c r="B80">
        <v>3</v>
      </c>
    </row>
    <row r="81" spans="1:2" x14ac:dyDescent="0.25">
      <c r="A81" s="64" t="s">
        <v>233</v>
      </c>
      <c r="B81">
        <v>2</v>
      </c>
    </row>
    <row r="82" spans="1:2" x14ac:dyDescent="0.25">
      <c r="A82" s="64" t="s">
        <v>234</v>
      </c>
      <c r="B82">
        <v>1</v>
      </c>
    </row>
    <row r="83" spans="1:2" x14ac:dyDescent="0.25">
      <c r="A83" s="64" t="s">
        <v>236</v>
      </c>
      <c r="B83">
        <v>7</v>
      </c>
    </row>
    <row r="84" spans="1:2" x14ac:dyDescent="0.25">
      <c r="A84" s="64" t="s">
        <v>226</v>
      </c>
      <c r="B84">
        <v>3</v>
      </c>
    </row>
    <row r="85" spans="1:2" x14ac:dyDescent="0.25">
      <c r="A85" s="64" t="s">
        <v>265</v>
      </c>
      <c r="B85">
        <v>1</v>
      </c>
    </row>
    <row r="86" spans="1:2" x14ac:dyDescent="0.25">
      <c r="A86" s="64" t="s">
        <v>266</v>
      </c>
      <c r="B86">
        <v>2</v>
      </c>
    </row>
    <row r="87" spans="1:2" x14ac:dyDescent="0.25">
      <c r="A87" s="64" t="s">
        <v>267</v>
      </c>
      <c r="B87">
        <v>1</v>
      </c>
    </row>
    <row r="88" spans="1:2" x14ac:dyDescent="0.25">
      <c r="A88" s="64" t="s">
        <v>268</v>
      </c>
      <c r="B88">
        <v>3</v>
      </c>
    </row>
    <row r="89" spans="1:2" x14ac:dyDescent="0.25">
      <c r="A89" s="64" t="s">
        <v>269</v>
      </c>
      <c r="B89">
        <v>3</v>
      </c>
    </row>
    <row r="90" spans="1:2" x14ac:dyDescent="0.25">
      <c r="A90" s="1" t="s">
        <v>249</v>
      </c>
      <c r="B90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1737-9D61-4B52-BDF7-06D3978FC181}">
  <dimension ref="A1:T163"/>
  <sheetViews>
    <sheetView tabSelected="1" workbookViewId="0">
      <selection activeCell="A2" sqref="A2"/>
    </sheetView>
  </sheetViews>
  <sheetFormatPr defaultRowHeight="15" x14ac:dyDescent="0.25"/>
  <cols>
    <col min="1" max="1" width="45.5703125" style="1" customWidth="1"/>
    <col min="2" max="2" width="12.85546875" style="1" customWidth="1"/>
    <col min="3" max="3" width="14.85546875" style="1" customWidth="1"/>
    <col min="4" max="4" width="8.42578125" style="1" customWidth="1"/>
    <col min="5" max="6" width="11.42578125" style="1" customWidth="1"/>
    <col min="7" max="9" width="11.42578125" style="16" customWidth="1"/>
    <col min="10" max="10" width="21.85546875" style="1" customWidth="1"/>
    <col min="11" max="11" width="10.42578125" style="1" bestFit="1" customWidth="1"/>
    <col min="12" max="12" width="6.85546875" style="25" customWidth="1"/>
    <col min="13" max="13" width="6.85546875" style="1" customWidth="1"/>
    <col min="14" max="14" width="15.5703125" style="1" customWidth="1"/>
    <col min="16" max="16" width="11.140625" style="9" customWidth="1"/>
    <col min="17" max="17" width="10.42578125" bestFit="1" customWidth="1"/>
    <col min="18" max="18" width="22.42578125" customWidth="1"/>
    <col min="20" max="20" width="13.28515625" customWidth="1"/>
  </cols>
  <sheetData>
    <row r="1" spans="1:20" ht="45" x14ac:dyDescent="0.25">
      <c r="A1" s="3" t="s">
        <v>6</v>
      </c>
      <c r="B1" s="49" t="s">
        <v>199</v>
      </c>
      <c r="C1" s="49" t="s">
        <v>107</v>
      </c>
      <c r="D1" s="3" t="s">
        <v>123</v>
      </c>
      <c r="E1" s="3" t="s">
        <v>126</v>
      </c>
      <c r="F1" s="44" t="s">
        <v>129</v>
      </c>
      <c r="G1" s="15" t="s">
        <v>132</v>
      </c>
      <c r="H1" s="15" t="s">
        <v>133</v>
      </c>
      <c r="I1" s="15" t="s">
        <v>134</v>
      </c>
      <c r="J1" s="3" t="s">
        <v>7</v>
      </c>
      <c r="K1" s="3" t="s">
        <v>8</v>
      </c>
      <c r="L1" s="28" t="s">
        <v>9</v>
      </c>
      <c r="M1" s="3" t="s">
        <v>105</v>
      </c>
      <c r="N1" s="3" t="s">
        <v>10</v>
      </c>
      <c r="O1" s="3" t="s">
        <v>11</v>
      </c>
      <c r="P1" s="11" t="s">
        <v>12</v>
      </c>
      <c r="Q1" s="3" t="s">
        <v>13</v>
      </c>
      <c r="R1" s="3" t="s">
        <v>14</v>
      </c>
      <c r="T1" s="12"/>
    </row>
    <row r="2" spans="1:20" ht="30" x14ac:dyDescent="0.25">
      <c r="A2" s="4" t="s">
        <v>15</v>
      </c>
      <c r="B2" s="39" t="s">
        <v>231</v>
      </c>
      <c r="C2" s="39" t="s">
        <v>109</v>
      </c>
      <c r="D2" s="4" t="s">
        <v>124</v>
      </c>
      <c r="E2" s="4" t="s">
        <v>408</v>
      </c>
      <c r="F2" s="45">
        <v>45364</v>
      </c>
      <c r="G2" s="40">
        <v>345.77</v>
      </c>
      <c r="H2" s="40">
        <v>83.94</v>
      </c>
      <c r="I2" s="40">
        <f t="shared" ref="I2:I29" si="0">G2+H2</f>
        <v>429.71</v>
      </c>
      <c r="J2" s="4" t="s">
        <v>16</v>
      </c>
      <c r="K2" s="4" t="s">
        <v>1</v>
      </c>
      <c r="L2" s="26">
        <v>1</v>
      </c>
      <c r="M2" s="4" t="s">
        <v>106</v>
      </c>
      <c r="N2" s="5" t="s">
        <v>286</v>
      </c>
      <c r="O2" s="2" t="s">
        <v>17</v>
      </c>
      <c r="P2" s="8">
        <v>44966</v>
      </c>
      <c r="Q2" s="2"/>
      <c r="R2" s="2"/>
    </row>
    <row r="3" spans="1:20" x14ac:dyDescent="0.25">
      <c r="A3" s="6" t="s">
        <v>161</v>
      </c>
      <c r="B3" s="39" t="s">
        <v>239</v>
      </c>
      <c r="C3" s="50" t="s">
        <v>111</v>
      </c>
      <c r="D3" s="6" t="s">
        <v>124</v>
      </c>
      <c r="E3" s="6" t="s">
        <v>128</v>
      </c>
      <c r="F3" s="46">
        <v>46209</v>
      </c>
      <c r="G3" s="41">
        <v>343.65</v>
      </c>
      <c r="H3" s="41">
        <v>89.24</v>
      </c>
      <c r="I3" s="41">
        <f t="shared" si="0"/>
        <v>432.89</v>
      </c>
      <c r="J3" s="6" t="s">
        <v>19</v>
      </c>
      <c r="K3" s="6" t="s">
        <v>2</v>
      </c>
      <c r="L3" s="22">
        <v>1</v>
      </c>
      <c r="M3" s="6" t="s">
        <v>106</v>
      </c>
      <c r="N3" s="5" t="s">
        <v>287</v>
      </c>
      <c r="O3" s="2" t="s">
        <v>17</v>
      </c>
      <c r="P3" s="8">
        <v>45901</v>
      </c>
      <c r="Q3" s="2"/>
      <c r="R3" s="2"/>
      <c r="T3" s="13"/>
    </row>
    <row r="4" spans="1:20" x14ac:dyDescent="0.25">
      <c r="A4" s="34" t="s">
        <v>187</v>
      </c>
      <c r="B4" s="39" t="s">
        <v>240</v>
      </c>
      <c r="C4" s="51" t="s">
        <v>109</v>
      </c>
      <c r="D4" s="34" t="s">
        <v>124</v>
      </c>
      <c r="E4" s="34" t="s">
        <v>128</v>
      </c>
      <c r="F4" s="47">
        <v>46842</v>
      </c>
      <c r="G4" s="42">
        <v>273.29000000000002</v>
      </c>
      <c r="H4" s="42">
        <v>111.73</v>
      </c>
      <c r="I4" s="42">
        <f t="shared" si="0"/>
        <v>385.02000000000004</v>
      </c>
      <c r="J4" s="34" t="s">
        <v>19</v>
      </c>
      <c r="K4" s="34" t="s">
        <v>2</v>
      </c>
      <c r="L4" s="21">
        <v>1</v>
      </c>
      <c r="M4" s="34" t="s">
        <v>106</v>
      </c>
      <c r="N4" s="34" t="s">
        <v>288</v>
      </c>
      <c r="O4" s="2" t="s">
        <v>17</v>
      </c>
      <c r="P4" s="8">
        <v>46111</v>
      </c>
      <c r="Q4" s="2"/>
      <c r="R4" s="2"/>
    </row>
    <row r="5" spans="1:20" x14ac:dyDescent="0.25">
      <c r="A5" s="4" t="s">
        <v>20</v>
      </c>
      <c r="B5" s="39" t="s">
        <v>241</v>
      </c>
      <c r="C5" s="39" t="s">
        <v>109</v>
      </c>
      <c r="D5" s="4" t="s">
        <v>124</v>
      </c>
      <c r="E5" s="4" t="s">
        <v>128</v>
      </c>
      <c r="F5" s="45">
        <v>46617</v>
      </c>
      <c r="G5" s="40">
        <v>404.28</v>
      </c>
      <c r="H5" s="40">
        <v>181.05</v>
      </c>
      <c r="I5" s="40">
        <f t="shared" si="0"/>
        <v>585.32999999999993</v>
      </c>
      <c r="J5" s="4" t="s">
        <v>19</v>
      </c>
      <c r="K5" s="4" t="s">
        <v>2</v>
      </c>
      <c r="L5" s="26">
        <v>1</v>
      </c>
      <c r="M5" s="4" t="s">
        <v>106</v>
      </c>
      <c r="N5" s="2" t="s">
        <v>289</v>
      </c>
      <c r="O5" s="2" t="s">
        <v>17</v>
      </c>
      <c r="P5" s="8">
        <v>45523</v>
      </c>
      <c r="Q5" s="2"/>
      <c r="R5" s="2"/>
      <c r="T5" s="13"/>
    </row>
    <row r="6" spans="1:20" x14ac:dyDescent="0.25">
      <c r="A6" s="6" t="s">
        <v>191</v>
      </c>
      <c r="B6" s="39" t="s">
        <v>200</v>
      </c>
      <c r="C6" s="50" t="s">
        <v>110</v>
      </c>
      <c r="D6" s="6" t="s">
        <v>124</v>
      </c>
      <c r="E6" s="6" t="s">
        <v>128</v>
      </c>
      <c r="F6" s="46">
        <v>46811</v>
      </c>
      <c r="G6" s="18">
        <v>332.32</v>
      </c>
      <c r="H6" s="18">
        <v>113.21</v>
      </c>
      <c r="I6" s="18">
        <f t="shared" si="0"/>
        <v>445.53</v>
      </c>
      <c r="J6" s="6" t="s">
        <v>19</v>
      </c>
      <c r="K6" s="6" t="s">
        <v>2</v>
      </c>
      <c r="L6" s="22">
        <v>1</v>
      </c>
      <c r="M6" s="6" t="s">
        <v>0</v>
      </c>
      <c r="N6" s="6" t="s">
        <v>290</v>
      </c>
      <c r="O6" s="2" t="s">
        <v>17</v>
      </c>
      <c r="P6" s="8">
        <v>45838</v>
      </c>
      <c r="Q6" s="2"/>
      <c r="R6" s="2"/>
      <c r="T6" s="13"/>
    </row>
    <row r="7" spans="1:20" x14ac:dyDescent="0.25">
      <c r="A7" s="6" t="s">
        <v>191</v>
      </c>
      <c r="B7" s="39" t="s">
        <v>200</v>
      </c>
      <c r="C7" s="50" t="s">
        <v>110</v>
      </c>
      <c r="D7" s="6" t="s">
        <v>124</v>
      </c>
      <c r="E7" s="6" t="s">
        <v>128</v>
      </c>
      <c r="F7" s="46">
        <v>46811</v>
      </c>
      <c r="G7" s="18">
        <v>332.32</v>
      </c>
      <c r="H7" s="18">
        <v>113.21</v>
      </c>
      <c r="I7" s="18">
        <f t="shared" si="0"/>
        <v>445.53</v>
      </c>
      <c r="J7" s="6" t="s">
        <v>19</v>
      </c>
      <c r="K7" s="6" t="s">
        <v>2</v>
      </c>
      <c r="L7" s="22">
        <v>1</v>
      </c>
      <c r="M7" s="6" t="s">
        <v>0</v>
      </c>
      <c r="N7" s="6" t="s">
        <v>291</v>
      </c>
      <c r="O7" s="2" t="s">
        <v>17</v>
      </c>
      <c r="P7" s="8">
        <v>45824</v>
      </c>
      <c r="Q7" s="2"/>
      <c r="R7" s="2"/>
    </row>
    <row r="8" spans="1:20" x14ac:dyDescent="0.25">
      <c r="A8" s="6" t="s">
        <v>191</v>
      </c>
      <c r="B8" s="39" t="s">
        <v>200</v>
      </c>
      <c r="C8" s="50" t="s">
        <v>110</v>
      </c>
      <c r="D8" s="6" t="s">
        <v>124</v>
      </c>
      <c r="E8" s="6" t="s">
        <v>128</v>
      </c>
      <c r="F8" s="46">
        <v>46811</v>
      </c>
      <c r="G8" s="18">
        <v>332.32</v>
      </c>
      <c r="H8" s="18">
        <v>113.21</v>
      </c>
      <c r="I8" s="18">
        <f t="shared" si="0"/>
        <v>445.53</v>
      </c>
      <c r="J8" s="6" t="s">
        <v>19</v>
      </c>
      <c r="K8" s="6" t="s">
        <v>2</v>
      </c>
      <c r="L8" s="22">
        <v>1</v>
      </c>
      <c r="M8" s="6" t="s">
        <v>0</v>
      </c>
      <c r="N8" s="6" t="s">
        <v>292</v>
      </c>
      <c r="O8" s="2" t="s">
        <v>17</v>
      </c>
      <c r="P8" s="8">
        <v>45873</v>
      </c>
      <c r="Q8" s="2"/>
      <c r="R8" s="2"/>
    </row>
    <row r="9" spans="1:20" x14ac:dyDescent="0.25">
      <c r="A9" s="6" t="s">
        <v>141</v>
      </c>
      <c r="B9" s="39" t="s">
        <v>242</v>
      </c>
      <c r="C9" s="50" t="s">
        <v>109</v>
      </c>
      <c r="D9" s="6" t="s">
        <v>124</v>
      </c>
      <c r="E9" s="6" t="s">
        <v>128</v>
      </c>
      <c r="F9" s="46">
        <v>45965</v>
      </c>
      <c r="G9" s="41">
        <v>437.8</v>
      </c>
      <c r="H9" s="41">
        <v>157.94999999999999</v>
      </c>
      <c r="I9" s="40">
        <f t="shared" si="0"/>
        <v>595.75</v>
      </c>
      <c r="J9" s="6" t="s">
        <v>19</v>
      </c>
      <c r="K9" s="6" t="s">
        <v>2</v>
      </c>
      <c r="L9" s="22">
        <v>1</v>
      </c>
      <c r="M9" s="6" t="s">
        <v>106</v>
      </c>
      <c r="N9" s="5" t="s">
        <v>293</v>
      </c>
      <c r="O9" s="2" t="s">
        <v>17</v>
      </c>
      <c r="P9" s="8">
        <v>45768</v>
      </c>
      <c r="Q9" s="2"/>
      <c r="R9" s="2"/>
      <c r="T9" s="13"/>
    </row>
    <row r="10" spans="1:20" ht="15" customHeight="1" x14ac:dyDescent="0.25">
      <c r="A10" s="4" t="s">
        <v>18</v>
      </c>
      <c r="B10" s="39" t="s">
        <v>243</v>
      </c>
      <c r="C10" s="39" t="s">
        <v>110</v>
      </c>
      <c r="D10" s="4" t="s">
        <v>124</v>
      </c>
      <c r="E10" s="4" t="s">
        <v>128</v>
      </c>
      <c r="F10" s="45">
        <v>46494</v>
      </c>
      <c r="G10" s="40">
        <v>472.38</v>
      </c>
      <c r="H10" s="40">
        <v>195.16</v>
      </c>
      <c r="I10" s="40">
        <f t="shared" si="0"/>
        <v>667.54</v>
      </c>
      <c r="J10" s="4" t="s">
        <v>19</v>
      </c>
      <c r="K10" s="4" t="s">
        <v>2</v>
      </c>
      <c r="L10" s="26">
        <v>1</v>
      </c>
      <c r="M10" s="4" t="s">
        <v>106</v>
      </c>
      <c r="N10" s="2" t="s">
        <v>294</v>
      </c>
      <c r="O10" s="2" t="s">
        <v>17</v>
      </c>
      <c r="P10" s="8">
        <v>45400</v>
      </c>
      <c r="Q10" s="2"/>
      <c r="R10" s="2"/>
      <c r="T10" s="13"/>
    </row>
    <row r="11" spans="1:20" x14ac:dyDescent="0.25">
      <c r="A11" s="6" t="s">
        <v>162</v>
      </c>
      <c r="B11" s="39" t="s">
        <v>239</v>
      </c>
      <c r="C11" s="50" t="s">
        <v>111</v>
      </c>
      <c r="D11" s="6" t="s">
        <v>124</v>
      </c>
      <c r="E11" s="6" t="s">
        <v>128</v>
      </c>
      <c r="F11" s="46">
        <v>46209</v>
      </c>
      <c r="G11" s="41">
        <v>232.62</v>
      </c>
      <c r="H11" s="41">
        <v>79.25</v>
      </c>
      <c r="I11" s="41">
        <f t="shared" si="0"/>
        <v>311.87</v>
      </c>
      <c r="J11" s="6" t="s">
        <v>19</v>
      </c>
      <c r="K11" s="6" t="s">
        <v>2</v>
      </c>
      <c r="L11" s="22">
        <v>1</v>
      </c>
      <c r="M11" s="6" t="s">
        <v>106</v>
      </c>
      <c r="N11" s="5" t="s">
        <v>295</v>
      </c>
      <c r="O11" s="2" t="s">
        <v>17</v>
      </c>
      <c r="P11" s="8">
        <v>45887</v>
      </c>
      <c r="Q11" s="2"/>
      <c r="R11" s="2"/>
    </row>
    <row r="12" spans="1:20" ht="30" x14ac:dyDescent="0.25">
      <c r="A12" s="4" t="s">
        <v>130</v>
      </c>
      <c r="B12" s="39" t="s">
        <v>201</v>
      </c>
      <c r="C12" s="39" t="s">
        <v>110</v>
      </c>
      <c r="D12" s="4" t="s">
        <v>124</v>
      </c>
      <c r="E12" s="4" t="s">
        <v>128</v>
      </c>
      <c r="F12" s="45">
        <v>46515</v>
      </c>
      <c r="G12" s="40">
        <v>453.8</v>
      </c>
      <c r="H12" s="40">
        <v>193.14</v>
      </c>
      <c r="I12" s="40">
        <f t="shared" si="0"/>
        <v>646.94000000000005</v>
      </c>
      <c r="J12" s="4" t="s">
        <v>19</v>
      </c>
      <c r="K12" s="4" t="s">
        <v>2</v>
      </c>
      <c r="L12" s="26">
        <v>1</v>
      </c>
      <c r="M12" s="4" t="s">
        <v>106</v>
      </c>
      <c r="N12" s="2" t="s">
        <v>289</v>
      </c>
      <c r="O12" s="2" t="s">
        <v>17</v>
      </c>
      <c r="P12" s="10">
        <v>45421</v>
      </c>
      <c r="Q12" s="4"/>
      <c r="R12" s="2"/>
    </row>
    <row r="13" spans="1:20" x14ac:dyDescent="0.25">
      <c r="A13" s="6" t="s">
        <v>164</v>
      </c>
      <c r="B13" s="39" t="s">
        <v>202</v>
      </c>
      <c r="C13" s="50" t="s">
        <v>109</v>
      </c>
      <c r="D13" s="6" t="s">
        <v>124</v>
      </c>
      <c r="E13" s="6" t="s">
        <v>128</v>
      </c>
      <c r="F13" s="46">
        <v>46971</v>
      </c>
      <c r="G13" s="41">
        <v>280.67</v>
      </c>
      <c r="H13" s="41">
        <v>139.35</v>
      </c>
      <c r="I13" s="41">
        <f t="shared" si="0"/>
        <v>420.02</v>
      </c>
      <c r="J13" s="6" t="s">
        <v>19</v>
      </c>
      <c r="K13" s="6" t="s">
        <v>2</v>
      </c>
      <c r="L13" s="22">
        <v>1</v>
      </c>
      <c r="M13" s="6" t="s">
        <v>106</v>
      </c>
      <c r="N13" s="5" t="s">
        <v>296</v>
      </c>
      <c r="O13" s="2" t="s">
        <v>17</v>
      </c>
      <c r="P13" s="8">
        <v>45891</v>
      </c>
      <c r="Q13" s="2"/>
      <c r="R13" s="2"/>
    </row>
    <row r="14" spans="1:20" x14ac:dyDescent="0.25">
      <c r="A14" s="6" t="s">
        <v>169</v>
      </c>
      <c r="B14" s="39" t="s">
        <v>203</v>
      </c>
      <c r="C14" s="50" t="s">
        <v>110</v>
      </c>
      <c r="D14" s="6" t="s">
        <v>124</v>
      </c>
      <c r="E14" s="6" t="s">
        <v>128</v>
      </c>
      <c r="F14" s="46">
        <v>46322</v>
      </c>
      <c r="G14" s="41">
        <v>237.53</v>
      </c>
      <c r="H14" s="41">
        <v>143.80000000000001</v>
      </c>
      <c r="I14" s="41">
        <f t="shared" si="0"/>
        <v>381.33000000000004</v>
      </c>
      <c r="J14" s="6" t="s">
        <v>19</v>
      </c>
      <c r="K14" s="6" t="s">
        <v>2</v>
      </c>
      <c r="L14" s="22">
        <v>1</v>
      </c>
      <c r="M14" s="6" t="s">
        <v>0</v>
      </c>
      <c r="N14" s="7" t="s">
        <v>297</v>
      </c>
      <c r="O14" s="2" t="s">
        <v>17</v>
      </c>
      <c r="P14" s="8">
        <v>45958</v>
      </c>
      <c r="Q14" s="2"/>
      <c r="R14" s="2"/>
    </row>
    <row r="15" spans="1:20" x14ac:dyDescent="0.25">
      <c r="A15" s="6" t="s">
        <v>169</v>
      </c>
      <c r="B15" s="39" t="s">
        <v>203</v>
      </c>
      <c r="C15" s="50" t="s">
        <v>110</v>
      </c>
      <c r="D15" s="6" t="s">
        <v>124</v>
      </c>
      <c r="E15" s="6" t="s">
        <v>128</v>
      </c>
      <c r="F15" s="46">
        <v>46322</v>
      </c>
      <c r="G15" s="41">
        <v>237.53</v>
      </c>
      <c r="H15" s="41">
        <v>143.80000000000001</v>
      </c>
      <c r="I15" s="41">
        <f t="shared" si="0"/>
        <v>381.33000000000004</v>
      </c>
      <c r="J15" s="6" t="s">
        <v>19</v>
      </c>
      <c r="K15" s="6" t="s">
        <v>2</v>
      </c>
      <c r="L15" s="22">
        <v>1</v>
      </c>
      <c r="M15" s="6" t="s">
        <v>0</v>
      </c>
      <c r="N15" s="7" t="s">
        <v>298</v>
      </c>
      <c r="O15" s="2" t="s">
        <v>17</v>
      </c>
      <c r="P15" s="8">
        <v>45958</v>
      </c>
      <c r="Q15" s="2"/>
      <c r="R15" s="2"/>
      <c r="T15" s="13"/>
    </row>
    <row r="16" spans="1:20" x14ac:dyDescent="0.25">
      <c r="A16" s="6" t="s">
        <v>169</v>
      </c>
      <c r="B16" s="39" t="s">
        <v>203</v>
      </c>
      <c r="C16" s="50" t="s">
        <v>110</v>
      </c>
      <c r="D16" s="6" t="s">
        <v>124</v>
      </c>
      <c r="E16" s="6" t="s">
        <v>128</v>
      </c>
      <c r="F16" s="46">
        <v>46343</v>
      </c>
      <c r="G16" s="41">
        <v>237.53</v>
      </c>
      <c r="H16" s="41">
        <v>143.80000000000001</v>
      </c>
      <c r="I16" s="41">
        <f t="shared" si="0"/>
        <v>381.33000000000004</v>
      </c>
      <c r="J16" s="6" t="s">
        <v>19</v>
      </c>
      <c r="K16" s="6" t="s">
        <v>2</v>
      </c>
      <c r="L16" s="22">
        <v>1</v>
      </c>
      <c r="M16" s="6" t="s">
        <v>0</v>
      </c>
      <c r="N16" s="2" t="s">
        <v>299</v>
      </c>
      <c r="O16" s="2" t="s">
        <v>17</v>
      </c>
      <c r="P16" s="8">
        <v>45971</v>
      </c>
      <c r="Q16" s="2"/>
      <c r="R16" s="2"/>
    </row>
    <row r="17" spans="1:20" x14ac:dyDescent="0.25">
      <c r="A17" s="6" t="s">
        <v>140</v>
      </c>
      <c r="B17" s="39" t="s">
        <v>204</v>
      </c>
      <c r="C17" s="50" t="s">
        <v>111</v>
      </c>
      <c r="D17" s="6" t="s">
        <v>124</v>
      </c>
      <c r="E17" s="6" t="s">
        <v>128</v>
      </c>
      <c r="F17" s="46">
        <v>46490</v>
      </c>
      <c r="G17" s="41">
        <v>257.77999999999997</v>
      </c>
      <c r="H17" s="41">
        <v>134.91</v>
      </c>
      <c r="I17" s="40">
        <f t="shared" si="0"/>
        <v>392.68999999999994</v>
      </c>
      <c r="J17" s="6" t="s">
        <v>19</v>
      </c>
      <c r="K17" s="6" t="s">
        <v>2</v>
      </c>
      <c r="L17" s="22">
        <v>1</v>
      </c>
      <c r="M17" s="6" t="s">
        <v>106</v>
      </c>
      <c r="N17" s="5" t="s">
        <v>300</v>
      </c>
      <c r="O17" s="2" t="s">
        <v>17</v>
      </c>
      <c r="P17" s="8">
        <v>45761</v>
      </c>
      <c r="Q17" s="2"/>
      <c r="R17" s="2"/>
      <c r="T17" s="13"/>
    </row>
    <row r="18" spans="1:20" x14ac:dyDescent="0.25">
      <c r="A18" s="6" t="s">
        <v>145</v>
      </c>
      <c r="B18" s="39" t="s">
        <v>204</v>
      </c>
      <c r="C18" s="50" t="s">
        <v>111</v>
      </c>
      <c r="D18" s="6" t="s">
        <v>124</v>
      </c>
      <c r="E18" s="6" t="s">
        <v>128</v>
      </c>
      <c r="F18" s="46">
        <v>46490</v>
      </c>
      <c r="G18" s="41">
        <v>257.77999999999997</v>
      </c>
      <c r="H18" s="41">
        <v>134.91</v>
      </c>
      <c r="I18" s="41">
        <f t="shared" si="0"/>
        <v>392.68999999999994</v>
      </c>
      <c r="J18" s="6" t="s">
        <v>19</v>
      </c>
      <c r="K18" s="6" t="s">
        <v>2</v>
      </c>
      <c r="L18" s="22">
        <v>1</v>
      </c>
      <c r="M18" s="6" t="s">
        <v>106</v>
      </c>
      <c r="N18" s="5" t="s">
        <v>301</v>
      </c>
      <c r="O18" s="2" t="s">
        <v>17</v>
      </c>
      <c r="P18" s="8">
        <v>45789</v>
      </c>
      <c r="Q18" s="2"/>
      <c r="R18" s="2"/>
    </row>
    <row r="19" spans="1:20" x14ac:dyDescent="0.25">
      <c r="A19" s="6" t="s">
        <v>148</v>
      </c>
      <c r="B19" s="39" t="s">
        <v>204</v>
      </c>
      <c r="C19" s="50" t="s">
        <v>111</v>
      </c>
      <c r="D19" s="6" t="s">
        <v>124</v>
      </c>
      <c r="E19" s="6" t="s">
        <v>128</v>
      </c>
      <c r="F19" s="46">
        <v>46490</v>
      </c>
      <c r="G19" s="41">
        <v>280.27999999999997</v>
      </c>
      <c r="H19" s="41">
        <v>144.71</v>
      </c>
      <c r="I19" s="41">
        <f t="shared" si="0"/>
        <v>424.99</v>
      </c>
      <c r="J19" s="6" t="s">
        <v>19</v>
      </c>
      <c r="K19" s="6" t="s">
        <v>2</v>
      </c>
      <c r="L19" s="23">
        <v>1</v>
      </c>
      <c r="M19" s="6" t="s">
        <v>106</v>
      </c>
      <c r="N19" s="7" t="s">
        <v>302</v>
      </c>
      <c r="O19" s="2" t="s">
        <v>17</v>
      </c>
      <c r="P19" s="8">
        <v>45812</v>
      </c>
      <c r="Q19" s="2"/>
      <c r="R19" s="2"/>
    </row>
    <row r="20" spans="1:20" x14ac:dyDescent="0.25">
      <c r="A20" s="6" t="s">
        <v>163</v>
      </c>
      <c r="B20" s="39" t="s">
        <v>239</v>
      </c>
      <c r="C20" s="50" t="s">
        <v>111</v>
      </c>
      <c r="D20" s="6" t="s">
        <v>124</v>
      </c>
      <c r="E20" s="6" t="s">
        <v>128</v>
      </c>
      <c r="F20" s="46">
        <v>46209</v>
      </c>
      <c r="G20" s="41">
        <v>343.65</v>
      </c>
      <c r="H20" s="41">
        <v>89.24</v>
      </c>
      <c r="I20" s="41">
        <f t="shared" si="0"/>
        <v>432.89</v>
      </c>
      <c r="J20" s="6" t="s">
        <v>19</v>
      </c>
      <c r="K20" s="6" t="s">
        <v>2</v>
      </c>
      <c r="L20" s="22">
        <v>1</v>
      </c>
      <c r="M20" s="6" t="s">
        <v>106</v>
      </c>
      <c r="N20" s="5" t="s">
        <v>303</v>
      </c>
      <c r="O20" s="2" t="s">
        <v>17</v>
      </c>
      <c r="P20" s="8">
        <v>45887</v>
      </c>
      <c r="Q20" s="2"/>
      <c r="R20" s="2"/>
      <c r="T20" s="13"/>
    </row>
    <row r="21" spans="1:20" x14ac:dyDescent="0.25">
      <c r="A21" s="19" t="s">
        <v>147</v>
      </c>
      <c r="B21" s="39" t="s">
        <v>205</v>
      </c>
      <c r="C21" s="52" t="s">
        <v>110</v>
      </c>
      <c r="D21" s="19" t="s">
        <v>124</v>
      </c>
      <c r="E21" s="19" t="s">
        <v>127</v>
      </c>
      <c r="F21" s="46">
        <v>46525</v>
      </c>
      <c r="G21" s="43">
        <v>338.37</v>
      </c>
      <c r="H21" s="43">
        <v>110.5</v>
      </c>
      <c r="I21" s="41">
        <f t="shared" si="0"/>
        <v>448.87</v>
      </c>
      <c r="J21" s="19" t="s">
        <v>22</v>
      </c>
      <c r="K21" s="19" t="s">
        <v>1</v>
      </c>
      <c r="L21" s="22">
        <v>1</v>
      </c>
      <c r="M21" s="19" t="s">
        <v>106</v>
      </c>
      <c r="N21" s="5" t="s">
        <v>304</v>
      </c>
      <c r="O21" s="2" t="s">
        <v>17</v>
      </c>
      <c r="P21" s="8">
        <v>45796</v>
      </c>
      <c r="Q21" s="2"/>
      <c r="R21" s="2"/>
      <c r="T21" s="13"/>
    </row>
    <row r="22" spans="1:20" ht="30" x14ac:dyDescent="0.25">
      <c r="A22" s="14" t="s">
        <v>120</v>
      </c>
      <c r="B22" s="39" t="s">
        <v>244</v>
      </c>
      <c r="C22" s="39" t="s">
        <v>109</v>
      </c>
      <c r="D22" s="4" t="s">
        <v>124</v>
      </c>
      <c r="E22" s="4" t="s">
        <v>127</v>
      </c>
      <c r="F22" s="45">
        <v>47822</v>
      </c>
      <c r="G22" s="40">
        <v>440.84</v>
      </c>
      <c r="H22" s="40">
        <v>132.77000000000001</v>
      </c>
      <c r="I22" s="40">
        <f t="shared" si="0"/>
        <v>573.61</v>
      </c>
      <c r="J22" s="4" t="s">
        <v>22</v>
      </c>
      <c r="K22" s="4" t="s">
        <v>1</v>
      </c>
      <c r="L22" s="21">
        <v>1</v>
      </c>
      <c r="M22" s="2" t="s">
        <v>106</v>
      </c>
      <c r="N22" s="7" t="s">
        <v>305</v>
      </c>
      <c r="O22" s="2" t="s">
        <v>17</v>
      </c>
      <c r="P22" s="8">
        <v>45791</v>
      </c>
      <c r="Q22" s="2"/>
      <c r="R22" s="2"/>
      <c r="T22" s="13"/>
    </row>
    <row r="23" spans="1:20" ht="30" x14ac:dyDescent="0.25">
      <c r="A23" s="4" t="s">
        <v>21</v>
      </c>
      <c r="B23" s="39" t="s">
        <v>206</v>
      </c>
      <c r="C23" s="39" t="s">
        <v>109</v>
      </c>
      <c r="D23" s="4" t="s">
        <v>124</v>
      </c>
      <c r="E23" s="4" t="s">
        <v>127</v>
      </c>
      <c r="F23" s="45">
        <v>46554</v>
      </c>
      <c r="G23" s="40">
        <v>383.55</v>
      </c>
      <c r="H23" s="40">
        <v>118.25</v>
      </c>
      <c r="I23" s="40">
        <f t="shared" si="0"/>
        <v>501.8</v>
      </c>
      <c r="J23" s="4" t="s">
        <v>22</v>
      </c>
      <c r="K23" s="4" t="s">
        <v>1</v>
      </c>
      <c r="L23" s="26">
        <v>1</v>
      </c>
      <c r="M23" s="4" t="s">
        <v>106</v>
      </c>
      <c r="N23" s="6" t="s">
        <v>306</v>
      </c>
      <c r="O23" s="2" t="s">
        <v>17</v>
      </c>
      <c r="P23" s="8">
        <v>45457</v>
      </c>
      <c r="Q23" s="2"/>
      <c r="R23" s="2"/>
    </row>
    <row r="24" spans="1:20" ht="30" x14ac:dyDescent="0.25">
      <c r="A24" s="14" t="s">
        <v>153</v>
      </c>
      <c r="B24" s="39" t="s">
        <v>207</v>
      </c>
      <c r="C24" s="39" t="s">
        <v>111</v>
      </c>
      <c r="D24" s="4" t="s">
        <v>124</v>
      </c>
      <c r="E24" s="4" t="s">
        <v>127</v>
      </c>
      <c r="F24" s="45">
        <v>47502</v>
      </c>
      <c r="G24" s="40">
        <v>344.65</v>
      </c>
      <c r="H24" s="40">
        <v>125.32</v>
      </c>
      <c r="I24" s="40">
        <f t="shared" si="0"/>
        <v>469.96999999999997</v>
      </c>
      <c r="J24" s="4" t="s">
        <v>22</v>
      </c>
      <c r="K24" s="4" t="s">
        <v>1</v>
      </c>
      <c r="L24" s="21">
        <v>1</v>
      </c>
      <c r="M24" s="2" t="s">
        <v>106</v>
      </c>
      <c r="N24" s="7" t="s">
        <v>307</v>
      </c>
      <c r="O24" s="2" t="s">
        <v>17</v>
      </c>
      <c r="P24" s="8">
        <v>45852</v>
      </c>
      <c r="Q24" s="2"/>
      <c r="R24" s="2"/>
    </row>
    <row r="25" spans="1:20" ht="30" x14ac:dyDescent="0.25">
      <c r="A25" s="14" t="s">
        <v>116</v>
      </c>
      <c r="B25" s="39" t="s">
        <v>207</v>
      </c>
      <c r="C25" s="39" t="s">
        <v>111</v>
      </c>
      <c r="D25" s="4" t="s">
        <v>124</v>
      </c>
      <c r="E25" s="4" t="s">
        <v>127</v>
      </c>
      <c r="F25" s="45">
        <v>47502</v>
      </c>
      <c r="G25" s="40">
        <v>344.65</v>
      </c>
      <c r="H25" s="40">
        <v>125.32</v>
      </c>
      <c r="I25" s="40">
        <f t="shared" si="0"/>
        <v>469.96999999999997</v>
      </c>
      <c r="J25" s="4" t="s">
        <v>22</v>
      </c>
      <c r="K25" s="4" t="s">
        <v>1</v>
      </c>
      <c r="L25" s="21">
        <v>1</v>
      </c>
      <c r="M25" s="2" t="s">
        <v>106</v>
      </c>
      <c r="N25" s="7" t="s">
        <v>308</v>
      </c>
      <c r="O25" s="2" t="s">
        <v>17</v>
      </c>
      <c r="P25" s="8">
        <v>45691</v>
      </c>
      <c r="Q25" s="2"/>
      <c r="R25" s="2"/>
      <c r="T25" s="13"/>
    </row>
    <row r="26" spans="1:20" x14ac:dyDescent="0.25">
      <c r="A26" s="14" t="s">
        <v>190</v>
      </c>
      <c r="B26" s="39" t="s">
        <v>207</v>
      </c>
      <c r="C26" s="53" t="s">
        <v>111</v>
      </c>
      <c r="D26" s="4" t="s">
        <v>124</v>
      </c>
      <c r="E26" s="4" t="s">
        <v>127</v>
      </c>
      <c r="F26" s="45">
        <v>47502</v>
      </c>
      <c r="G26" s="40">
        <v>344.65</v>
      </c>
      <c r="H26" s="40">
        <v>125.32</v>
      </c>
      <c r="I26" s="40">
        <f t="shared" si="0"/>
        <v>469.96999999999997</v>
      </c>
      <c r="J26" s="14" t="s">
        <v>22</v>
      </c>
      <c r="K26" s="14" t="s">
        <v>1</v>
      </c>
      <c r="L26" s="20">
        <v>1</v>
      </c>
      <c r="M26" s="14" t="s">
        <v>106</v>
      </c>
      <c r="N26" s="7" t="s">
        <v>309</v>
      </c>
      <c r="O26" s="2" t="s">
        <v>17</v>
      </c>
      <c r="P26" s="8">
        <v>46147</v>
      </c>
      <c r="Q26" s="2"/>
      <c r="R26" s="2"/>
      <c r="T26" s="13"/>
    </row>
    <row r="27" spans="1:20" x14ac:dyDescent="0.25">
      <c r="A27" s="14" t="s">
        <v>115</v>
      </c>
      <c r="B27" s="39" t="s">
        <v>207</v>
      </c>
      <c r="C27" s="53" t="s">
        <v>111</v>
      </c>
      <c r="D27" s="4" t="s">
        <v>124</v>
      </c>
      <c r="E27" s="4" t="s">
        <v>127</v>
      </c>
      <c r="F27" s="45">
        <v>47502</v>
      </c>
      <c r="G27" s="40">
        <v>344.65</v>
      </c>
      <c r="H27" s="40">
        <v>125.32</v>
      </c>
      <c r="I27" s="40">
        <f t="shared" si="0"/>
        <v>469.96999999999997</v>
      </c>
      <c r="J27" s="14" t="s">
        <v>22</v>
      </c>
      <c r="K27" s="14" t="s">
        <v>1</v>
      </c>
      <c r="L27" s="20">
        <v>1</v>
      </c>
      <c r="M27" s="14" t="s">
        <v>106</v>
      </c>
      <c r="N27" s="7" t="s">
        <v>310</v>
      </c>
      <c r="O27" s="2" t="s">
        <v>17</v>
      </c>
      <c r="P27" s="8">
        <v>45691</v>
      </c>
      <c r="Q27" s="2"/>
      <c r="R27" s="2"/>
      <c r="T27" s="13"/>
    </row>
    <row r="28" spans="1:20" x14ac:dyDescent="0.25">
      <c r="A28" s="14" t="s">
        <v>151</v>
      </c>
      <c r="B28" s="39" t="s">
        <v>207</v>
      </c>
      <c r="C28" s="53" t="s">
        <v>111</v>
      </c>
      <c r="D28" s="4" t="s">
        <v>124</v>
      </c>
      <c r="E28" s="4" t="s">
        <v>127</v>
      </c>
      <c r="F28" s="45">
        <v>47502</v>
      </c>
      <c r="G28" s="40">
        <v>344.65</v>
      </c>
      <c r="H28" s="40">
        <v>125.32</v>
      </c>
      <c r="I28" s="40">
        <f t="shared" si="0"/>
        <v>469.96999999999997</v>
      </c>
      <c r="J28" s="14" t="s">
        <v>22</v>
      </c>
      <c r="K28" s="14" t="s">
        <v>1</v>
      </c>
      <c r="L28" s="20">
        <v>1</v>
      </c>
      <c r="M28" s="14" t="s">
        <v>106</v>
      </c>
      <c r="N28" s="7" t="s">
        <v>311</v>
      </c>
      <c r="O28" s="2" t="s">
        <v>17</v>
      </c>
      <c r="P28" s="8">
        <v>45825</v>
      </c>
      <c r="Q28" s="2"/>
      <c r="R28" s="2"/>
    </row>
    <row r="29" spans="1:20" ht="30" x14ac:dyDescent="0.25">
      <c r="A29" s="14" t="s">
        <v>117</v>
      </c>
      <c r="B29" s="39" t="s">
        <v>207</v>
      </c>
      <c r="C29" s="39" t="s">
        <v>111</v>
      </c>
      <c r="D29" s="4" t="s">
        <v>124</v>
      </c>
      <c r="E29" s="4" t="s">
        <v>127</v>
      </c>
      <c r="F29" s="45">
        <v>47502</v>
      </c>
      <c r="G29" s="40">
        <v>344.65</v>
      </c>
      <c r="H29" s="40">
        <v>125.32</v>
      </c>
      <c r="I29" s="40">
        <f t="shared" si="0"/>
        <v>469.96999999999997</v>
      </c>
      <c r="J29" s="4" t="s">
        <v>22</v>
      </c>
      <c r="K29" s="4" t="s">
        <v>1</v>
      </c>
      <c r="L29" s="21">
        <v>1</v>
      </c>
      <c r="M29" s="2" t="s">
        <v>106</v>
      </c>
      <c r="N29" s="7" t="s">
        <v>312</v>
      </c>
      <c r="O29" s="2" t="s">
        <v>17</v>
      </c>
      <c r="P29" s="8">
        <v>45693</v>
      </c>
      <c r="Q29" s="2"/>
      <c r="R29" s="2"/>
    </row>
    <row r="30" spans="1:20" ht="30" x14ac:dyDescent="0.25">
      <c r="A30" s="4" t="s">
        <v>28</v>
      </c>
      <c r="B30" s="39" t="s">
        <v>245</v>
      </c>
      <c r="C30" s="39" t="s">
        <v>109</v>
      </c>
      <c r="D30" s="4" t="s">
        <v>124</v>
      </c>
      <c r="E30" s="4" t="s">
        <v>408</v>
      </c>
      <c r="F30" s="45">
        <v>45426</v>
      </c>
      <c r="G30" s="40">
        <v>285.54000000000002</v>
      </c>
      <c r="H30" s="40">
        <v>76.97</v>
      </c>
      <c r="I30" s="40">
        <f t="shared" ref="I30:I38" si="1">G30+H30</f>
        <v>362.51</v>
      </c>
      <c r="J30" s="4" t="s">
        <v>23</v>
      </c>
      <c r="K30" s="4" t="s">
        <v>1</v>
      </c>
      <c r="L30" s="26">
        <v>1</v>
      </c>
      <c r="M30" s="4" t="s">
        <v>106</v>
      </c>
      <c r="N30" s="5" t="s">
        <v>313</v>
      </c>
      <c r="O30" s="2" t="s">
        <v>17</v>
      </c>
      <c r="P30" s="8">
        <v>45061</v>
      </c>
      <c r="Q30" s="2"/>
      <c r="R30" s="2"/>
    </row>
    <row r="31" spans="1:20" ht="30" x14ac:dyDescent="0.25">
      <c r="A31" s="2" t="s">
        <v>30</v>
      </c>
      <c r="B31" s="39" t="s">
        <v>208</v>
      </c>
      <c r="C31" s="33" t="s">
        <v>110</v>
      </c>
      <c r="D31" s="4" t="s">
        <v>124</v>
      </c>
      <c r="E31" s="4" t="s">
        <v>408</v>
      </c>
      <c r="F31" s="45">
        <v>44454</v>
      </c>
      <c r="G31" s="40">
        <v>170.79</v>
      </c>
      <c r="H31" s="40">
        <v>88.552999999999997</v>
      </c>
      <c r="I31" s="40">
        <f t="shared" si="1"/>
        <v>259.34299999999996</v>
      </c>
      <c r="J31" s="4" t="s">
        <v>23</v>
      </c>
      <c r="K31" s="4" t="s">
        <v>1</v>
      </c>
      <c r="L31" s="27">
        <v>1</v>
      </c>
      <c r="M31" s="2" t="s">
        <v>106</v>
      </c>
      <c r="N31" s="6" t="s">
        <v>314</v>
      </c>
      <c r="O31" s="2" t="s">
        <v>17</v>
      </c>
      <c r="P31" s="8">
        <v>44270</v>
      </c>
      <c r="Q31" s="2"/>
      <c r="R31" s="2"/>
      <c r="T31" s="13"/>
    </row>
    <row r="32" spans="1:20" ht="30" x14ac:dyDescent="0.25">
      <c r="A32" s="2" t="s">
        <v>25</v>
      </c>
      <c r="B32" s="39" t="s">
        <v>209</v>
      </c>
      <c r="C32" s="33" t="s">
        <v>109</v>
      </c>
      <c r="D32" s="4" t="s">
        <v>124</v>
      </c>
      <c r="E32" s="4" t="s">
        <v>408</v>
      </c>
      <c r="F32" s="45">
        <v>46502</v>
      </c>
      <c r="G32" s="40">
        <v>207.32</v>
      </c>
      <c r="H32" s="40">
        <v>120.9</v>
      </c>
      <c r="I32" s="40">
        <f t="shared" si="1"/>
        <v>328.22</v>
      </c>
      <c r="J32" s="4" t="s">
        <v>23</v>
      </c>
      <c r="K32" s="4" t="s">
        <v>1</v>
      </c>
      <c r="L32" s="27">
        <v>1</v>
      </c>
      <c r="M32" s="4" t="s">
        <v>106</v>
      </c>
      <c r="N32" s="6" t="s">
        <v>315</v>
      </c>
      <c r="O32" s="2" t="s">
        <v>17</v>
      </c>
      <c r="P32" s="8">
        <v>44243</v>
      </c>
      <c r="Q32" s="2"/>
      <c r="R32" s="2"/>
    </row>
    <row r="33" spans="1:20" x14ac:dyDescent="0.25">
      <c r="A33" s="6" t="s">
        <v>180</v>
      </c>
      <c r="B33" s="39" t="s">
        <v>246</v>
      </c>
      <c r="C33" s="50" t="s">
        <v>109</v>
      </c>
      <c r="D33" s="6" t="s">
        <v>124</v>
      </c>
      <c r="E33" s="6" t="s">
        <v>127</v>
      </c>
      <c r="F33" s="46">
        <v>46000</v>
      </c>
      <c r="G33" s="41">
        <v>368.34</v>
      </c>
      <c r="H33" s="41">
        <v>108.33</v>
      </c>
      <c r="I33" s="41">
        <f t="shared" si="1"/>
        <v>476.66999999999996</v>
      </c>
      <c r="J33" s="6" t="s">
        <v>23</v>
      </c>
      <c r="K33" s="6" t="s">
        <v>1</v>
      </c>
      <c r="L33" s="22">
        <v>1</v>
      </c>
      <c r="M33" s="6" t="s">
        <v>106</v>
      </c>
      <c r="N33" s="6" t="s">
        <v>316</v>
      </c>
      <c r="O33" s="2" t="s">
        <v>17</v>
      </c>
      <c r="P33" s="8">
        <v>46000</v>
      </c>
      <c r="Q33" s="2"/>
      <c r="R33" s="2"/>
    </row>
    <row r="34" spans="1:20" ht="30" x14ac:dyDescent="0.25">
      <c r="A34" s="4" t="s">
        <v>112</v>
      </c>
      <c r="B34" s="39" t="s">
        <v>210</v>
      </c>
      <c r="C34" s="39" t="s">
        <v>109</v>
      </c>
      <c r="D34" s="4" t="s">
        <v>124</v>
      </c>
      <c r="E34" s="4" t="s">
        <v>127</v>
      </c>
      <c r="F34" s="45">
        <v>46065</v>
      </c>
      <c r="G34" s="40">
        <v>399.96999999999997</v>
      </c>
      <c r="H34" s="40">
        <v>96.710000000000008</v>
      </c>
      <c r="I34" s="40">
        <f t="shared" si="1"/>
        <v>496.67999999999995</v>
      </c>
      <c r="J34" s="4" t="s">
        <v>23</v>
      </c>
      <c r="K34" s="4" t="s">
        <v>1</v>
      </c>
      <c r="L34" s="21">
        <v>1</v>
      </c>
      <c r="M34" s="2" t="s">
        <v>106</v>
      </c>
      <c r="N34" s="5" t="s">
        <v>317</v>
      </c>
      <c r="O34" s="2" t="s">
        <v>17</v>
      </c>
      <c r="P34" s="8">
        <v>45700</v>
      </c>
      <c r="Q34" s="2"/>
      <c r="R34" s="2"/>
    </row>
    <row r="35" spans="1:20" ht="30" x14ac:dyDescent="0.25">
      <c r="A35" s="4" t="s">
        <v>27</v>
      </c>
      <c r="B35" s="39" t="s">
        <v>252</v>
      </c>
      <c r="C35" s="39" t="s">
        <v>111</v>
      </c>
      <c r="D35" s="4" t="s">
        <v>124</v>
      </c>
      <c r="E35" s="4" t="s">
        <v>127</v>
      </c>
      <c r="F35" s="45">
        <v>45320</v>
      </c>
      <c r="G35" s="40">
        <v>154.5</v>
      </c>
      <c r="H35" s="40">
        <v>74.209999999999994</v>
      </c>
      <c r="I35" s="40">
        <f t="shared" si="1"/>
        <v>228.70999999999998</v>
      </c>
      <c r="J35" s="4" t="s">
        <v>23</v>
      </c>
      <c r="K35" s="4" t="s">
        <v>1</v>
      </c>
      <c r="L35" s="26">
        <v>1</v>
      </c>
      <c r="M35" s="4" t="s">
        <v>106</v>
      </c>
      <c r="N35" s="2" t="s">
        <v>318</v>
      </c>
      <c r="O35" s="2" t="s">
        <v>17</v>
      </c>
      <c r="P35" s="8">
        <v>43787</v>
      </c>
      <c r="Q35" s="2"/>
      <c r="R35" s="2"/>
    </row>
    <row r="36" spans="1:20" ht="30" x14ac:dyDescent="0.25">
      <c r="A36" s="4" t="s">
        <v>24</v>
      </c>
      <c r="B36" s="39" t="s">
        <v>252</v>
      </c>
      <c r="C36" s="39" t="s">
        <v>111</v>
      </c>
      <c r="D36" s="4" t="s">
        <v>124</v>
      </c>
      <c r="E36" s="4" t="s">
        <v>127</v>
      </c>
      <c r="F36" s="45">
        <v>45320</v>
      </c>
      <c r="G36" s="40">
        <v>154.5</v>
      </c>
      <c r="H36" s="40">
        <v>74.209999999999994</v>
      </c>
      <c r="I36" s="40">
        <f t="shared" si="1"/>
        <v>228.70999999999998</v>
      </c>
      <c r="J36" s="4" t="s">
        <v>23</v>
      </c>
      <c r="K36" s="4" t="s">
        <v>1</v>
      </c>
      <c r="L36" s="26">
        <v>1</v>
      </c>
      <c r="M36" s="4" t="s">
        <v>106</v>
      </c>
      <c r="N36" s="6" t="s">
        <v>319</v>
      </c>
      <c r="O36" s="2" t="s">
        <v>17</v>
      </c>
      <c r="P36" s="8">
        <v>43787</v>
      </c>
      <c r="Q36" s="2"/>
      <c r="R36" s="2"/>
    </row>
    <row r="37" spans="1:20" ht="30" x14ac:dyDescent="0.25">
      <c r="A37" s="4" t="s">
        <v>29</v>
      </c>
      <c r="B37" s="39" t="s">
        <v>247</v>
      </c>
      <c r="C37" s="39" t="s">
        <v>111</v>
      </c>
      <c r="D37" s="4" t="s">
        <v>124</v>
      </c>
      <c r="E37" s="4" t="s">
        <v>127</v>
      </c>
      <c r="F37" s="45">
        <v>45320</v>
      </c>
      <c r="G37" s="40">
        <v>167.86</v>
      </c>
      <c r="H37" s="40">
        <v>75.489999999999995</v>
      </c>
      <c r="I37" s="40">
        <f t="shared" si="1"/>
        <v>243.35000000000002</v>
      </c>
      <c r="J37" s="4" t="s">
        <v>23</v>
      </c>
      <c r="K37" s="4" t="s">
        <v>1</v>
      </c>
      <c r="L37" s="26">
        <v>1</v>
      </c>
      <c r="M37" s="4" t="s">
        <v>106</v>
      </c>
      <c r="N37" s="6" t="s">
        <v>320</v>
      </c>
      <c r="O37" s="2" t="s">
        <v>17</v>
      </c>
      <c r="P37" s="8">
        <v>43700</v>
      </c>
      <c r="Q37" s="2"/>
      <c r="R37" s="2"/>
      <c r="T37" s="13"/>
    </row>
    <row r="38" spans="1:20" ht="30" x14ac:dyDescent="0.25">
      <c r="A38" s="4" t="s">
        <v>26</v>
      </c>
      <c r="B38" s="39" t="s">
        <v>247</v>
      </c>
      <c r="C38" s="39" t="s">
        <v>111</v>
      </c>
      <c r="D38" s="4" t="s">
        <v>124</v>
      </c>
      <c r="E38" s="4" t="s">
        <v>127</v>
      </c>
      <c r="F38" s="45">
        <v>45320</v>
      </c>
      <c r="G38" s="40">
        <v>167.86</v>
      </c>
      <c r="H38" s="40">
        <v>75.489999999999995</v>
      </c>
      <c r="I38" s="40">
        <f t="shared" si="1"/>
        <v>243.35000000000002</v>
      </c>
      <c r="J38" s="4" t="s">
        <v>23</v>
      </c>
      <c r="K38" s="4" t="s">
        <v>1</v>
      </c>
      <c r="L38" s="26">
        <v>1</v>
      </c>
      <c r="M38" s="4" t="s">
        <v>106</v>
      </c>
      <c r="N38" s="6" t="s">
        <v>321</v>
      </c>
      <c r="O38" s="2" t="s">
        <v>17</v>
      </c>
      <c r="P38" s="8">
        <v>44231</v>
      </c>
      <c r="Q38" s="2"/>
      <c r="R38" s="2"/>
    </row>
    <row r="39" spans="1:20" ht="30" x14ac:dyDescent="0.25">
      <c r="A39" s="14" t="s">
        <v>114</v>
      </c>
      <c r="B39" s="39" t="s">
        <v>253</v>
      </c>
      <c r="C39" s="53" t="s">
        <v>109</v>
      </c>
      <c r="D39" s="4" t="s">
        <v>125</v>
      </c>
      <c r="E39" s="4" t="s">
        <v>409</v>
      </c>
      <c r="F39" s="48" t="s">
        <v>131</v>
      </c>
      <c r="G39" s="40">
        <v>347.81</v>
      </c>
      <c r="H39" s="40">
        <v>167.44</v>
      </c>
      <c r="I39" s="40">
        <f t="shared" ref="I39:I59" si="2">G39+H39</f>
        <v>515.25</v>
      </c>
      <c r="J39" s="14" t="s">
        <v>121</v>
      </c>
      <c r="K39" s="14" t="s">
        <v>4</v>
      </c>
      <c r="L39" s="20">
        <v>1</v>
      </c>
      <c r="M39" s="14" t="s">
        <v>106</v>
      </c>
      <c r="N39" s="7" t="s">
        <v>322</v>
      </c>
      <c r="O39" s="2" t="s">
        <v>17</v>
      </c>
      <c r="P39" s="8">
        <v>45686</v>
      </c>
      <c r="Q39" s="2"/>
      <c r="R39" s="2"/>
    </row>
    <row r="40" spans="1:20" ht="30" x14ac:dyDescent="0.25">
      <c r="A40" s="4" t="s">
        <v>135</v>
      </c>
      <c r="B40" s="39" t="s">
        <v>254</v>
      </c>
      <c r="C40" s="39" t="s">
        <v>109</v>
      </c>
      <c r="D40" s="4" t="s">
        <v>124</v>
      </c>
      <c r="E40" s="4" t="s">
        <v>128</v>
      </c>
      <c r="F40" s="45">
        <v>45859</v>
      </c>
      <c r="G40" s="40">
        <v>461.64</v>
      </c>
      <c r="H40" s="40">
        <v>205.94</v>
      </c>
      <c r="I40" s="40">
        <f t="shared" si="2"/>
        <v>667.57999999999993</v>
      </c>
      <c r="J40" s="4" t="s">
        <v>31</v>
      </c>
      <c r="K40" s="4" t="s">
        <v>1</v>
      </c>
      <c r="L40" s="26">
        <v>1</v>
      </c>
      <c r="M40" s="4" t="s">
        <v>106</v>
      </c>
      <c r="N40" s="2" t="s">
        <v>323</v>
      </c>
      <c r="O40" s="2" t="s">
        <v>17</v>
      </c>
      <c r="P40" s="10">
        <v>45495</v>
      </c>
      <c r="Q40" s="4"/>
      <c r="R40" s="2"/>
    </row>
    <row r="41" spans="1:20" x14ac:dyDescent="0.25">
      <c r="A41" s="30" t="s">
        <v>159</v>
      </c>
      <c r="B41" s="39" t="s">
        <v>255</v>
      </c>
      <c r="C41" s="50" t="s">
        <v>109</v>
      </c>
      <c r="D41" s="6" t="s">
        <v>124</v>
      </c>
      <c r="E41" s="6" t="s">
        <v>127</v>
      </c>
      <c r="F41" s="29" t="s">
        <v>160</v>
      </c>
      <c r="G41" s="41">
        <v>448.82</v>
      </c>
      <c r="H41" s="41">
        <v>151.79</v>
      </c>
      <c r="I41" s="41">
        <f t="shared" si="2"/>
        <v>600.61</v>
      </c>
      <c r="J41" s="6" t="s">
        <v>122</v>
      </c>
      <c r="K41" s="6" t="s">
        <v>1</v>
      </c>
      <c r="L41" s="22">
        <v>1</v>
      </c>
      <c r="M41" s="6" t="s">
        <v>106</v>
      </c>
      <c r="N41" s="7" t="s">
        <v>324</v>
      </c>
      <c r="O41" s="2" t="s">
        <v>17</v>
      </c>
      <c r="P41" s="8">
        <v>45887</v>
      </c>
      <c r="Q41" s="2"/>
      <c r="R41" s="2"/>
      <c r="T41" s="13"/>
    </row>
    <row r="42" spans="1:20" ht="30" x14ac:dyDescent="0.25">
      <c r="A42" s="14" t="s">
        <v>118</v>
      </c>
      <c r="B42" s="39" t="s">
        <v>256</v>
      </c>
      <c r="C42" s="39" t="s">
        <v>110</v>
      </c>
      <c r="D42" s="4" t="s">
        <v>124</v>
      </c>
      <c r="E42" s="4" t="s">
        <v>127</v>
      </c>
      <c r="F42" s="45">
        <v>46038</v>
      </c>
      <c r="G42" s="40">
        <v>458.42</v>
      </c>
      <c r="H42" s="40">
        <v>140.15</v>
      </c>
      <c r="I42" s="40">
        <f t="shared" si="2"/>
        <v>598.57000000000005</v>
      </c>
      <c r="J42" s="4" t="s">
        <v>122</v>
      </c>
      <c r="K42" s="4" t="s">
        <v>1</v>
      </c>
      <c r="L42" s="21">
        <v>1</v>
      </c>
      <c r="M42" s="2" t="s">
        <v>0</v>
      </c>
      <c r="N42" s="7"/>
      <c r="O42" s="2" t="s">
        <v>65</v>
      </c>
      <c r="P42" s="8"/>
      <c r="Q42" s="8"/>
      <c r="R42" s="2"/>
      <c r="T42" s="13"/>
    </row>
    <row r="43" spans="1:20" ht="30" x14ac:dyDescent="0.25">
      <c r="A43" s="14" t="s">
        <v>118</v>
      </c>
      <c r="B43" s="39" t="s">
        <v>256</v>
      </c>
      <c r="C43" s="39" t="s">
        <v>110</v>
      </c>
      <c r="D43" s="4" t="s">
        <v>124</v>
      </c>
      <c r="E43" s="4" t="s">
        <v>127</v>
      </c>
      <c r="F43" s="45">
        <v>46038</v>
      </c>
      <c r="G43" s="40">
        <v>458.42</v>
      </c>
      <c r="H43" s="40">
        <v>140.15</v>
      </c>
      <c r="I43" s="40">
        <f t="shared" si="2"/>
        <v>598.57000000000005</v>
      </c>
      <c r="J43" s="4" t="s">
        <v>122</v>
      </c>
      <c r="K43" s="4" t="s">
        <v>1</v>
      </c>
      <c r="L43" s="21">
        <v>1</v>
      </c>
      <c r="M43" s="2" t="s">
        <v>0</v>
      </c>
      <c r="N43" s="7"/>
      <c r="O43" s="2" t="s">
        <v>65</v>
      </c>
      <c r="P43" s="8"/>
      <c r="Q43" s="8"/>
      <c r="R43" s="2"/>
      <c r="T43">
        <f>P44-Q43</f>
        <v>46001</v>
      </c>
    </row>
    <row r="44" spans="1:20" x14ac:dyDescent="0.25">
      <c r="A44" s="31" t="s">
        <v>181</v>
      </c>
      <c r="B44" s="39" t="s">
        <v>257</v>
      </c>
      <c r="C44" s="50" t="s">
        <v>110</v>
      </c>
      <c r="D44" s="6" t="s">
        <v>124</v>
      </c>
      <c r="E44" s="6" t="s">
        <v>127</v>
      </c>
      <c r="F44" s="46">
        <v>46182</v>
      </c>
      <c r="G44" s="41">
        <v>284.38</v>
      </c>
      <c r="H44" s="41">
        <v>96.4</v>
      </c>
      <c r="I44" s="41">
        <f t="shared" si="2"/>
        <v>380.78</v>
      </c>
      <c r="J44" s="6" t="s">
        <v>122</v>
      </c>
      <c r="K44" s="6" t="s">
        <v>1</v>
      </c>
      <c r="L44" s="22">
        <v>1</v>
      </c>
      <c r="M44" s="6" t="s">
        <v>106</v>
      </c>
      <c r="N44" s="6" t="s">
        <v>325</v>
      </c>
      <c r="O44" s="2" t="s">
        <v>17</v>
      </c>
      <c r="P44" s="8">
        <v>46001</v>
      </c>
      <c r="Q44" s="2"/>
      <c r="R44" s="2"/>
      <c r="T44" s="13"/>
    </row>
    <row r="45" spans="1:20" ht="30" x14ac:dyDescent="0.25">
      <c r="A45" s="4" t="s">
        <v>32</v>
      </c>
      <c r="B45" s="39" t="s">
        <v>258</v>
      </c>
      <c r="C45" s="39" t="s">
        <v>110</v>
      </c>
      <c r="D45" s="4" t="s">
        <v>124</v>
      </c>
      <c r="E45" s="4" t="s">
        <v>408</v>
      </c>
      <c r="F45" s="45">
        <v>47396</v>
      </c>
      <c r="G45" s="40">
        <v>272.17</v>
      </c>
      <c r="H45" s="40">
        <v>145.52000000000001</v>
      </c>
      <c r="I45" s="40">
        <f t="shared" si="2"/>
        <v>417.69000000000005</v>
      </c>
      <c r="J45" s="4" t="s">
        <v>33</v>
      </c>
      <c r="K45" s="4" t="s">
        <v>1</v>
      </c>
      <c r="L45" s="26">
        <v>1</v>
      </c>
      <c r="M45" s="4" t="s">
        <v>106</v>
      </c>
      <c r="N45" s="5" t="s">
        <v>326</v>
      </c>
      <c r="O45" s="2" t="s">
        <v>17</v>
      </c>
      <c r="P45" s="8">
        <v>43497</v>
      </c>
      <c r="Q45" s="2"/>
      <c r="R45" s="2"/>
      <c r="T45" s="13"/>
    </row>
    <row r="46" spans="1:20" x14ac:dyDescent="0.25">
      <c r="A46" s="6" t="s">
        <v>144</v>
      </c>
      <c r="B46" s="39" t="s">
        <v>211</v>
      </c>
      <c r="C46" s="50" t="s">
        <v>109</v>
      </c>
      <c r="D46" s="6" t="s">
        <v>124</v>
      </c>
      <c r="E46" s="6" t="s">
        <v>127</v>
      </c>
      <c r="F46" s="46">
        <v>47973</v>
      </c>
      <c r="G46" s="41">
        <v>437.24</v>
      </c>
      <c r="H46" s="41">
        <v>103.28</v>
      </c>
      <c r="I46" s="41">
        <f t="shared" si="2"/>
        <v>540.52</v>
      </c>
      <c r="J46" s="6" t="s">
        <v>34</v>
      </c>
      <c r="K46" s="6" t="s">
        <v>2</v>
      </c>
      <c r="L46" s="22">
        <v>1</v>
      </c>
      <c r="M46" s="6" t="s">
        <v>106</v>
      </c>
      <c r="N46" s="5" t="s">
        <v>324</v>
      </c>
      <c r="O46" s="2" t="s">
        <v>17</v>
      </c>
      <c r="P46" s="8">
        <v>45783</v>
      </c>
      <c r="Q46" s="2"/>
      <c r="R46" s="2"/>
    </row>
    <row r="47" spans="1:20" x14ac:dyDescent="0.25">
      <c r="A47" s="6" t="s">
        <v>166</v>
      </c>
      <c r="B47" s="39" t="s">
        <v>212</v>
      </c>
      <c r="C47" s="50" t="s">
        <v>109</v>
      </c>
      <c r="D47" s="6" t="s">
        <v>124</v>
      </c>
      <c r="E47" s="6" t="s">
        <v>127</v>
      </c>
      <c r="F47" s="29" t="s">
        <v>167</v>
      </c>
      <c r="G47" s="41">
        <v>458.83</v>
      </c>
      <c r="H47" s="41">
        <v>125.45</v>
      </c>
      <c r="I47" s="41">
        <f t="shared" si="2"/>
        <v>584.28</v>
      </c>
      <c r="J47" s="6" t="s">
        <v>34</v>
      </c>
      <c r="K47" s="6" t="s">
        <v>2</v>
      </c>
      <c r="L47" s="22">
        <v>1</v>
      </c>
      <c r="M47" s="6" t="s">
        <v>106</v>
      </c>
      <c r="N47" s="5" t="s">
        <v>327</v>
      </c>
      <c r="O47" s="2" t="s">
        <v>17</v>
      </c>
      <c r="P47" s="8">
        <v>45930</v>
      </c>
      <c r="Q47" s="2"/>
      <c r="R47" s="2"/>
    </row>
    <row r="48" spans="1:20" x14ac:dyDescent="0.25">
      <c r="A48" s="6" t="s">
        <v>189</v>
      </c>
      <c r="B48" s="39" t="s">
        <v>213</v>
      </c>
      <c r="C48" s="50" t="s">
        <v>110</v>
      </c>
      <c r="D48" s="6" t="s">
        <v>124</v>
      </c>
      <c r="E48" s="6" t="s">
        <v>127</v>
      </c>
      <c r="F48" s="46">
        <v>48317</v>
      </c>
      <c r="G48" s="41">
        <v>456.99</v>
      </c>
      <c r="H48" s="41">
        <v>127.41</v>
      </c>
      <c r="I48" s="41">
        <f t="shared" si="2"/>
        <v>584.4</v>
      </c>
      <c r="J48" s="6" t="s">
        <v>34</v>
      </c>
      <c r="K48" s="6" t="s">
        <v>2</v>
      </c>
      <c r="L48" s="22">
        <v>1</v>
      </c>
      <c r="M48" s="6" t="s">
        <v>106</v>
      </c>
      <c r="N48" s="38" t="s">
        <v>328</v>
      </c>
      <c r="O48" s="2" t="s">
        <v>17</v>
      </c>
      <c r="P48" s="8">
        <v>46126</v>
      </c>
      <c r="Q48" s="2"/>
      <c r="R48" s="2"/>
      <c r="T48" s="13"/>
    </row>
    <row r="49" spans="1:20" x14ac:dyDescent="0.25">
      <c r="A49" s="6" t="s">
        <v>185</v>
      </c>
      <c r="B49" s="39" t="s">
        <v>214</v>
      </c>
      <c r="C49" s="50" t="s">
        <v>110</v>
      </c>
      <c r="D49" s="6" t="s">
        <v>124</v>
      </c>
      <c r="E49" s="6" t="s">
        <v>127</v>
      </c>
      <c r="F49" s="46">
        <v>48239</v>
      </c>
      <c r="G49" s="41">
        <v>537.87</v>
      </c>
      <c r="H49" s="41">
        <v>135.66999999999999</v>
      </c>
      <c r="I49" s="41">
        <f t="shared" si="2"/>
        <v>673.54</v>
      </c>
      <c r="J49" s="6" t="s">
        <v>34</v>
      </c>
      <c r="K49" s="6" t="s">
        <v>2</v>
      </c>
      <c r="L49" s="22">
        <v>1</v>
      </c>
      <c r="M49" s="6" t="s">
        <v>106</v>
      </c>
      <c r="N49" s="6" t="s">
        <v>329</v>
      </c>
      <c r="O49" s="2" t="s">
        <v>17</v>
      </c>
      <c r="P49" s="8">
        <v>46048</v>
      </c>
      <c r="Q49" s="2"/>
      <c r="R49" s="2"/>
    </row>
    <row r="50" spans="1:20" x14ac:dyDescent="0.25">
      <c r="A50" s="6" t="s">
        <v>168</v>
      </c>
      <c r="B50" s="39" t="s">
        <v>215</v>
      </c>
      <c r="C50" s="50" t="s">
        <v>109</v>
      </c>
      <c r="D50" s="6" t="s">
        <v>124</v>
      </c>
      <c r="E50" s="6" t="s">
        <v>127</v>
      </c>
      <c r="F50" s="46">
        <v>47990</v>
      </c>
      <c r="G50" s="41">
        <v>751.26</v>
      </c>
      <c r="H50" s="41">
        <v>162.63</v>
      </c>
      <c r="I50" s="41">
        <f t="shared" si="2"/>
        <v>913.89</v>
      </c>
      <c r="J50" s="6" t="s">
        <v>34</v>
      </c>
      <c r="K50" s="6" t="s">
        <v>2</v>
      </c>
      <c r="L50" s="22">
        <v>1</v>
      </c>
      <c r="M50" s="6" t="s">
        <v>106</v>
      </c>
      <c r="N50" s="7" t="s">
        <v>330</v>
      </c>
      <c r="O50" s="2" t="s">
        <v>17</v>
      </c>
      <c r="P50" s="8">
        <v>45932</v>
      </c>
      <c r="Q50" s="2"/>
      <c r="R50" s="2"/>
    </row>
    <row r="51" spans="1:20" x14ac:dyDescent="0.25">
      <c r="A51" s="4" t="s">
        <v>136</v>
      </c>
      <c r="B51" s="39" t="s">
        <v>216</v>
      </c>
      <c r="C51" s="39" t="s">
        <v>109</v>
      </c>
      <c r="D51" s="4" t="s">
        <v>124</v>
      </c>
      <c r="E51" s="4" t="s">
        <v>127</v>
      </c>
      <c r="F51" s="45">
        <v>47686</v>
      </c>
      <c r="G51" s="40">
        <v>408.11</v>
      </c>
      <c r="H51" s="40">
        <v>114.75</v>
      </c>
      <c r="I51" s="40">
        <f t="shared" si="2"/>
        <v>522.86</v>
      </c>
      <c r="J51" s="4" t="s">
        <v>34</v>
      </c>
      <c r="K51" s="4" t="s">
        <v>2</v>
      </c>
      <c r="L51" s="26">
        <v>1</v>
      </c>
      <c r="M51" s="4" t="s">
        <v>106</v>
      </c>
      <c r="N51" s="2"/>
      <c r="O51" s="2" t="s">
        <v>65</v>
      </c>
      <c r="P51" s="10"/>
      <c r="Q51" s="10"/>
      <c r="R51" s="2"/>
    </row>
    <row r="52" spans="1:20" x14ac:dyDescent="0.25">
      <c r="A52" s="4" t="s">
        <v>170</v>
      </c>
      <c r="B52" s="39" t="s">
        <v>217</v>
      </c>
      <c r="C52" s="39" t="s">
        <v>109</v>
      </c>
      <c r="D52" s="4" t="s">
        <v>124</v>
      </c>
      <c r="E52" s="4" t="s">
        <v>127</v>
      </c>
      <c r="F52" s="45">
        <v>48150</v>
      </c>
      <c r="G52" s="40">
        <v>432.67</v>
      </c>
      <c r="H52" s="40">
        <v>118.81</v>
      </c>
      <c r="I52" s="40">
        <f t="shared" si="2"/>
        <v>551.48</v>
      </c>
      <c r="J52" s="4" t="s">
        <v>34</v>
      </c>
      <c r="K52" s="4" t="s">
        <v>2</v>
      </c>
      <c r="L52" s="26">
        <v>1</v>
      </c>
      <c r="M52" s="4" t="s">
        <v>106</v>
      </c>
      <c r="N52" s="2" t="s">
        <v>331</v>
      </c>
      <c r="O52" s="2" t="s">
        <v>17</v>
      </c>
      <c r="P52" s="10">
        <v>45960</v>
      </c>
      <c r="Q52" s="4"/>
      <c r="R52" s="2"/>
    </row>
    <row r="53" spans="1:20" x14ac:dyDescent="0.25">
      <c r="A53" s="6" t="s">
        <v>143</v>
      </c>
      <c r="B53" s="39" t="s">
        <v>218</v>
      </c>
      <c r="C53" s="50" t="s">
        <v>109</v>
      </c>
      <c r="D53" s="6" t="s">
        <v>124</v>
      </c>
      <c r="E53" s="6" t="s">
        <v>127</v>
      </c>
      <c r="F53" s="46">
        <v>47969</v>
      </c>
      <c r="G53" s="41">
        <v>406.3</v>
      </c>
      <c r="H53" s="41">
        <v>115.38</v>
      </c>
      <c r="I53" s="41">
        <f t="shared" si="2"/>
        <v>521.68000000000006</v>
      </c>
      <c r="J53" s="6" t="s">
        <v>34</v>
      </c>
      <c r="K53" s="6" t="s">
        <v>2</v>
      </c>
      <c r="L53" s="22">
        <v>1</v>
      </c>
      <c r="M53" s="6" t="s">
        <v>106</v>
      </c>
      <c r="N53" s="5" t="s">
        <v>332</v>
      </c>
      <c r="O53" s="2" t="s">
        <v>17</v>
      </c>
      <c r="P53" s="8">
        <v>45778</v>
      </c>
      <c r="Q53" s="2"/>
      <c r="R53" s="2"/>
    </row>
    <row r="54" spans="1:20" x14ac:dyDescent="0.25">
      <c r="A54" s="6" t="s">
        <v>158</v>
      </c>
      <c r="B54" s="39" t="s">
        <v>215</v>
      </c>
      <c r="C54" s="50" t="s">
        <v>109</v>
      </c>
      <c r="D54" s="6" t="s">
        <v>124</v>
      </c>
      <c r="E54" s="6" t="s">
        <v>127</v>
      </c>
      <c r="F54" s="46">
        <v>47990</v>
      </c>
      <c r="G54" s="41">
        <v>751.26</v>
      </c>
      <c r="H54" s="41">
        <v>162.63</v>
      </c>
      <c r="I54" s="41">
        <f t="shared" si="2"/>
        <v>913.89</v>
      </c>
      <c r="J54" s="6" t="s">
        <v>34</v>
      </c>
      <c r="K54" s="6" t="s">
        <v>2</v>
      </c>
      <c r="L54" s="22">
        <v>1</v>
      </c>
      <c r="M54" s="6" t="s">
        <v>106</v>
      </c>
      <c r="N54" s="7" t="s">
        <v>333</v>
      </c>
      <c r="O54" s="2" t="s">
        <v>17</v>
      </c>
      <c r="P54" s="8">
        <v>45883</v>
      </c>
      <c r="Q54" s="2"/>
      <c r="R54" s="2"/>
    </row>
    <row r="55" spans="1:20" x14ac:dyDescent="0.25">
      <c r="A55" s="4" t="s">
        <v>113</v>
      </c>
      <c r="B55" s="39" t="s">
        <v>219</v>
      </c>
      <c r="C55" s="39" t="s">
        <v>109</v>
      </c>
      <c r="D55" s="4" t="s">
        <v>124</v>
      </c>
      <c r="E55" s="4" t="s">
        <v>127</v>
      </c>
      <c r="F55" s="45">
        <v>49350</v>
      </c>
      <c r="G55" s="40">
        <v>426.09</v>
      </c>
      <c r="H55" s="40">
        <v>125.99000000000001</v>
      </c>
      <c r="I55" s="40">
        <f t="shared" si="2"/>
        <v>552.07999999999993</v>
      </c>
      <c r="J55" s="4" t="s">
        <v>34</v>
      </c>
      <c r="K55" s="4" t="s">
        <v>2</v>
      </c>
      <c r="L55" s="24">
        <v>1</v>
      </c>
      <c r="M55" s="4" t="s">
        <v>106</v>
      </c>
      <c r="N55" s="5" t="s">
        <v>334</v>
      </c>
      <c r="O55" s="2" t="s">
        <v>17</v>
      </c>
      <c r="P55" s="8">
        <v>45698</v>
      </c>
      <c r="Q55" s="2"/>
      <c r="R55" s="2"/>
    </row>
    <row r="56" spans="1:20" x14ac:dyDescent="0.25">
      <c r="A56" s="6" t="s">
        <v>146</v>
      </c>
      <c r="B56" s="39" t="s">
        <v>220</v>
      </c>
      <c r="C56" s="50" t="s">
        <v>110</v>
      </c>
      <c r="D56" s="6" t="s">
        <v>124</v>
      </c>
      <c r="E56" s="6" t="s">
        <v>127</v>
      </c>
      <c r="F56" s="46">
        <v>47956</v>
      </c>
      <c r="G56" s="41">
        <v>561.9</v>
      </c>
      <c r="H56" s="41">
        <v>134.91</v>
      </c>
      <c r="I56" s="41">
        <f t="shared" si="2"/>
        <v>696.81</v>
      </c>
      <c r="J56" s="6" t="s">
        <v>34</v>
      </c>
      <c r="K56" s="6" t="s">
        <v>2</v>
      </c>
      <c r="L56" s="22">
        <v>1</v>
      </c>
      <c r="M56" s="6" t="s">
        <v>106</v>
      </c>
      <c r="N56" s="5" t="s">
        <v>335</v>
      </c>
      <c r="O56" s="2" t="s">
        <v>17</v>
      </c>
      <c r="P56" s="8">
        <v>45796</v>
      </c>
      <c r="Q56" s="2"/>
      <c r="R56" s="2"/>
    </row>
    <row r="57" spans="1:20" x14ac:dyDescent="0.25">
      <c r="A57" s="6" t="s">
        <v>154</v>
      </c>
      <c r="B57" s="39" t="s">
        <v>215</v>
      </c>
      <c r="C57" s="50" t="s">
        <v>109</v>
      </c>
      <c r="D57" s="6" t="s">
        <v>124</v>
      </c>
      <c r="E57" s="6" t="s">
        <v>127</v>
      </c>
      <c r="F57" s="46">
        <v>47990</v>
      </c>
      <c r="G57" s="41">
        <v>751.26</v>
      </c>
      <c r="H57" s="41">
        <v>162.63</v>
      </c>
      <c r="I57" s="41">
        <f t="shared" si="2"/>
        <v>913.89</v>
      </c>
      <c r="J57" s="6" t="s">
        <v>34</v>
      </c>
      <c r="K57" s="6" t="s">
        <v>2</v>
      </c>
      <c r="L57" s="23">
        <v>1</v>
      </c>
      <c r="M57" s="6" t="s">
        <v>106</v>
      </c>
      <c r="N57" s="7" t="s">
        <v>336</v>
      </c>
      <c r="O57" s="2" t="s">
        <v>17</v>
      </c>
      <c r="P57" s="8">
        <v>45849</v>
      </c>
      <c r="Q57" s="2"/>
      <c r="R57" s="2"/>
    </row>
    <row r="58" spans="1:20" x14ac:dyDescent="0.25">
      <c r="A58" s="6" t="s">
        <v>155</v>
      </c>
      <c r="B58" s="39" t="s">
        <v>221</v>
      </c>
      <c r="C58" s="50" t="s">
        <v>109</v>
      </c>
      <c r="D58" s="6" t="s">
        <v>124</v>
      </c>
      <c r="E58" s="6" t="s">
        <v>127</v>
      </c>
      <c r="F58" s="46">
        <v>48057</v>
      </c>
      <c r="G58" s="41">
        <v>479</v>
      </c>
      <c r="H58" s="41">
        <v>132.08000000000001</v>
      </c>
      <c r="I58" s="41">
        <f t="shared" si="2"/>
        <v>611.08000000000004</v>
      </c>
      <c r="J58" s="6" t="s">
        <v>34</v>
      </c>
      <c r="K58" s="6" t="s">
        <v>2</v>
      </c>
      <c r="L58" s="23">
        <v>1</v>
      </c>
      <c r="M58" s="6" t="s">
        <v>106</v>
      </c>
      <c r="N58" s="7" t="s">
        <v>337</v>
      </c>
      <c r="O58" s="2" t="s">
        <v>17</v>
      </c>
      <c r="P58" s="8">
        <v>45867</v>
      </c>
      <c r="Q58" s="2"/>
      <c r="R58" s="2"/>
    </row>
    <row r="59" spans="1:20" x14ac:dyDescent="0.25">
      <c r="A59" s="6" t="s">
        <v>184</v>
      </c>
      <c r="B59" s="39" t="s">
        <v>215</v>
      </c>
      <c r="C59" s="50" t="s">
        <v>109</v>
      </c>
      <c r="D59" s="6" t="s">
        <v>124</v>
      </c>
      <c r="E59" s="6" t="s">
        <v>127</v>
      </c>
      <c r="F59" s="46">
        <v>48239</v>
      </c>
      <c r="G59" s="41">
        <v>752.26</v>
      </c>
      <c r="H59" s="41">
        <v>161.26</v>
      </c>
      <c r="I59" s="41">
        <f t="shared" si="2"/>
        <v>913.52</v>
      </c>
      <c r="J59" s="6" t="s">
        <v>34</v>
      </c>
      <c r="K59" s="6" t="s">
        <v>2</v>
      </c>
      <c r="L59" s="22">
        <v>1</v>
      </c>
      <c r="M59" s="6" t="s">
        <v>106</v>
      </c>
      <c r="N59" s="7" t="s">
        <v>338</v>
      </c>
      <c r="O59" s="2" t="s">
        <v>17</v>
      </c>
      <c r="P59" s="8">
        <v>46048</v>
      </c>
      <c r="Q59" s="2"/>
      <c r="R59" s="2"/>
    </row>
    <row r="60" spans="1:20" ht="30" x14ac:dyDescent="0.25">
      <c r="A60" s="2" t="s">
        <v>40</v>
      </c>
      <c r="B60" s="39" t="s">
        <v>259</v>
      </c>
      <c r="C60" s="33" t="s">
        <v>111</v>
      </c>
      <c r="D60" s="4" t="s">
        <v>124</v>
      </c>
      <c r="E60" s="4" t="s">
        <v>408</v>
      </c>
      <c r="F60" s="45">
        <v>47361</v>
      </c>
      <c r="G60" s="40">
        <v>156.9</v>
      </c>
      <c r="H60" s="40">
        <v>69.209999999999994</v>
      </c>
      <c r="I60" s="40">
        <f t="shared" ref="I60:I70" si="3">G60+H60</f>
        <v>226.11</v>
      </c>
      <c r="J60" s="2" t="s">
        <v>36</v>
      </c>
      <c r="K60" s="2" t="s">
        <v>3</v>
      </c>
      <c r="L60" s="27">
        <v>1</v>
      </c>
      <c r="M60" s="2" t="s">
        <v>0</v>
      </c>
      <c r="N60" s="6" t="s">
        <v>319</v>
      </c>
      <c r="O60" s="2" t="s">
        <v>17</v>
      </c>
      <c r="P60" s="8">
        <v>44998</v>
      </c>
      <c r="Q60" s="2"/>
      <c r="R60" s="2"/>
    </row>
    <row r="61" spans="1:20" ht="30" x14ac:dyDescent="0.25">
      <c r="A61" s="2" t="s">
        <v>40</v>
      </c>
      <c r="B61" s="39" t="s">
        <v>259</v>
      </c>
      <c r="C61" s="33" t="s">
        <v>111</v>
      </c>
      <c r="D61" s="4" t="s">
        <v>124</v>
      </c>
      <c r="E61" s="4" t="s">
        <v>408</v>
      </c>
      <c r="F61" s="45">
        <v>47361</v>
      </c>
      <c r="G61" s="40">
        <v>156.9</v>
      </c>
      <c r="H61" s="40">
        <v>69.209999999999994</v>
      </c>
      <c r="I61" s="40">
        <f t="shared" si="3"/>
        <v>226.11</v>
      </c>
      <c r="J61" s="2" t="s">
        <v>36</v>
      </c>
      <c r="K61" s="2" t="s">
        <v>3</v>
      </c>
      <c r="L61" s="27">
        <v>1</v>
      </c>
      <c r="M61" s="2" t="s">
        <v>0</v>
      </c>
      <c r="N61" s="6" t="s">
        <v>305</v>
      </c>
      <c r="O61" s="2" t="s">
        <v>17</v>
      </c>
      <c r="P61" s="8">
        <v>44998</v>
      </c>
      <c r="Q61" s="2"/>
      <c r="R61" s="2"/>
    </row>
    <row r="62" spans="1:20" ht="30" x14ac:dyDescent="0.25">
      <c r="A62" s="2" t="s">
        <v>37</v>
      </c>
      <c r="B62" s="39" t="s">
        <v>259</v>
      </c>
      <c r="C62" s="33" t="s">
        <v>111</v>
      </c>
      <c r="D62" s="4" t="s">
        <v>124</v>
      </c>
      <c r="E62" s="4" t="s">
        <v>408</v>
      </c>
      <c r="F62" s="45">
        <v>47361</v>
      </c>
      <c r="G62" s="40">
        <v>169.23</v>
      </c>
      <c r="H62" s="40">
        <v>83.57</v>
      </c>
      <c r="I62" s="40">
        <f t="shared" si="3"/>
        <v>252.79999999999998</v>
      </c>
      <c r="J62" s="2" t="s">
        <v>36</v>
      </c>
      <c r="K62" s="2" t="s">
        <v>3</v>
      </c>
      <c r="L62" s="27">
        <v>1</v>
      </c>
      <c r="M62" s="2" t="s">
        <v>106</v>
      </c>
      <c r="N62" s="6" t="s">
        <v>316</v>
      </c>
      <c r="O62" s="2" t="s">
        <v>17</v>
      </c>
      <c r="P62" s="8">
        <v>43024</v>
      </c>
      <c r="Q62" s="2"/>
      <c r="R62" s="2"/>
    </row>
    <row r="63" spans="1:20" ht="30" x14ac:dyDescent="0.25">
      <c r="A63" s="2" t="s">
        <v>39</v>
      </c>
      <c r="B63" s="39" t="s">
        <v>259</v>
      </c>
      <c r="C63" s="33" t="s">
        <v>111</v>
      </c>
      <c r="D63" s="4" t="s">
        <v>124</v>
      </c>
      <c r="E63" s="4" t="s">
        <v>408</v>
      </c>
      <c r="F63" s="45">
        <v>47361</v>
      </c>
      <c r="G63" s="40">
        <v>169.23</v>
      </c>
      <c r="H63" s="40">
        <v>107.22</v>
      </c>
      <c r="I63" s="40">
        <f t="shared" si="3"/>
        <v>276.45</v>
      </c>
      <c r="J63" s="2" t="s">
        <v>36</v>
      </c>
      <c r="K63" s="2" t="s">
        <v>3</v>
      </c>
      <c r="L63" s="27">
        <v>1</v>
      </c>
      <c r="M63" s="2" t="s">
        <v>106</v>
      </c>
      <c r="N63" s="6" t="s">
        <v>339</v>
      </c>
      <c r="O63" s="2" t="s">
        <v>17</v>
      </c>
      <c r="P63" s="8">
        <v>43024</v>
      </c>
      <c r="Q63" s="2"/>
      <c r="R63" s="2"/>
      <c r="T63" s="13"/>
    </row>
    <row r="64" spans="1:20" ht="30" x14ac:dyDescent="0.25">
      <c r="A64" s="2" t="s">
        <v>43</v>
      </c>
      <c r="B64" s="39" t="s">
        <v>259</v>
      </c>
      <c r="C64" s="33" t="s">
        <v>111</v>
      </c>
      <c r="D64" s="4" t="s">
        <v>124</v>
      </c>
      <c r="E64" s="4" t="s">
        <v>408</v>
      </c>
      <c r="F64" s="45">
        <v>47361</v>
      </c>
      <c r="G64" s="40">
        <v>169.23</v>
      </c>
      <c r="H64" s="40">
        <v>83.57</v>
      </c>
      <c r="I64" s="40">
        <f t="shared" si="3"/>
        <v>252.79999999999998</v>
      </c>
      <c r="J64" s="2" t="s">
        <v>36</v>
      </c>
      <c r="K64" s="2" t="s">
        <v>3</v>
      </c>
      <c r="L64" s="27">
        <v>1</v>
      </c>
      <c r="M64" s="2" t="s">
        <v>106</v>
      </c>
      <c r="N64" s="6" t="s">
        <v>340</v>
      </c>
      <c r="O64" s="2" t="s">
        <v>17</v>
      </c>
      <c r="P64" s="8">
        <v>44950</v>
      </c>
      <c r="Q64" s="2"/>
      <c r="R64" s="2"/>
    </row>
    <row r="65" spans="1:20" ht="30" x14ac:dyDescent="0.25">
      <c r="A65" s="2" t="s">
        <v>38</v>
      </c>
      <c r="B65" s="39" t="s">
        <v>259</v>
      </c>
      <c r="C65" s="33" t="s">
        <v>111</v>
      </c>
      <c r="D65" s="4" t="s">
        <v>124</v>
      </c>
      <c r="E65" s="4" t="s">
        <v>408</v>
      </c>
      <c r="F65" s="45">
        <v>47361</v>
      </c>
      <c r="G65" s="40">
        <v>169.23</v>
      </c>
      <c r="H65" s="40">
        <v>83.57</v>
      </c>
      <c r="I65" s="40">
        <f t="shared" si="3"/>
        <v>252.79999999999998</v>
      </c>
      <c r="J65" s="2" t="s">
        <v>36</v>
      </c>
      <c r="K65" s="2" t="s">
        <v>3</v>
      </c>
      <c r="L65" s="27">
        <v>1</v>
      </c>
      <c r="M65" s="2" t="s">
        <v>106</v>
      </c>
      <c r="N65" s="6" t="s">
        <v>341</v>
      </c>
      <c r="O65" s="2" t="s">
        <v>17</v>
      </c>
      <c r="P65" s="8">
        <v>44109</v>
      </c>
      <c r="Q65" s="2"/>
      <c r="R65" s="2"/>
    </row>
    <row r="66" spans="1:20" ht="30" x14ac:dyDescent="0.25">
      <c r="A66" s="2" t="s">
        <v>42</v>
      </c>
      <c r="B66" s="39" t="s">
        <v>259</v>
      </c>
      <c r="C66" s="33" t="s">
        <v>111</v>
      </c>
      <c r="D66" s="4" t="s">
        <v>124</v>
      </c>
      <c r="E66" s="4" t="s">
        <v>408</v>
      </c>
      <c r="F66" s="45">
        <v>47361</v>
      </c>
      <c r="G66" s="40">
        <v>169.23</v>
      </c>
      <c r="H66" s="40">
        <v>83.57</v>
      </c>
      <c r="I66" s="40">
        <f t="shared" si="3"/>
        <v>252.79999999999998</v>
      </c>
      <c r="J66" s="2" t="s">
        <v>36</v>
      </c>
      <c r="K66" s="2" t="s">
        <v>3</v>
      </c>
      <c r="L66" s="27">
        <v>1</v>
      </c>
      <c r="M66" s="2" t="s">
        <v>106</v>
      </c>
      <c r="N66" s="6" t="s">
        <v>294</v>
      </c>
      <c r="O66" s="2" t="s">
        <v>17</v>
      </c>
      <c r="P66" s="8">
        <v>43024</v>
      </c>
      <c r="Q66" s="2"/>
      <c r="R66" s="2"/>
    </row>
    <row r="67" spans="1:20" ht="30" x14ac:dyDescent="0.25">
      <c r="A67" s="2" t="s">
        <v>41</v>
      </c>
      <c r="B67" s="39" t="s">
        <v>259</v>
      </c>
      <c r="C67" s="33" t="s">
        <v>111</v>
      </c>
      <c r="D67" s="4" t="s">
        <v>124</v>
      </c>
      <c r="E67" s="4" t="s">
        <v>408</v>
      </c>
      <c r="F67" s="45">
        <v>47361</v>
      </c>
      <c r="G67" s="40">
        <v>169.23</v>
      </c>
      <c r="H67" s="40">
        <v>83.57</v>
      </c>
      <c r="I67" s="40">
        <f t="shared" si="3"/>
        <v>252.79999999999998</v>
      </c>
      <c r="J67" s="2" t="s">
        <v>36</v>
      </c>
      <c r="K67" s="2" t="s">
        <v>3</v>
      </c>
      <c r="L67" s="27">
        <v>1</v>
      </c>
      <c r="M67" s="2" t="s">
        <v>106</v>
      </c>
      <c r="N67" s="6" t="s">
        <v>342</v>
      </c>
      <c r="O67" s="2" t="s">
        <v>17</v>
      </c>
      <c r="P67" s="8">
        <v>44480</v>
      </c>
      <c r="Q67" s="2"/>
      <c r="R67" s="2"/>
      <c r="T67" s="13"/>
    </row>
    <row r="68" spans="1:20" ht="30" x14ac:dyDescent="0.25">
      <c r="A68" s="2" t="s">
        <v>35</v>
      </c>
      <c r="B68" s="39" t="s">
        <v>259</v>
      </c>
      <c r="C68" s="33" t="s">
        <v>111</v>
      </c>
      <c r="D68" s="4" t="s">
        <v>124</v>
      </c>
      <c r="E68" s="4" t="s">
        <v>408</v>
      </c>
      <c r="F68" s="45">
        <v>47361</v>
      </c>
      <c r="G68" s="40">
        <v>169.23</v>
      </c>
      <c r="H68" s="40">
        <v>83.57</v>
      </c>
      <c r="I68" s="40">
        <f t="shared" si="3"/>
        <v>252.79999999999998</v>
      </c>
      <c r="J68" s="2" t="s">
        <v>36</v>
      </c>
      <c r="K68" s="2" t="s">
        <v>3</v>
      </c>
      <c r="L68" s="27">
        <v>1</v>
      </c>
      <c r="M68" s="2" t="s">
        <v>106</v>
      </c>
      <c r="N68" s="6" t="s">
        <v>343</v>
      </c>
      <c r="O68" s="2" t="s">
        <v>17</v>
      </c>
      <c r="P68" s="8">
        <v>45208</v>
      </c>
      <c r="Q68" s="2"/>
      <c r="R68" s="2"/>
    </row>
    <row r="69" spans="1:20" ht="30" x14ac:dyDescent="0.25">
      <c r="A69" s="2" t="s">
        <v>44</v>
      </c>
      <c r="B69" s="39" t="s">
        <v>222</v>
      </c>
      <c r="C69" s="33" t="s">
        <v>109</v>
      </c>
      <c r="D69" s="4" t="s">
        <v>125</v>
      </c>
      <c r="E69" s="4" t="s">
        <v>409</v>
      </c>
      <c r="F69" s="48" t="s">
        <v>131</v>
      </c>
      <c r="G69" s="40">
        <v>466.73</v>
      </c>
      <c r="H69" s="40">
        <v>173.06</v>
      </c>
      <c r="I69" s="40">
        <f t="shared" si="3"/>
        <v>639.79</v>
      </c>
      <c r="J69" s="2" t="s">
        <v>45</v>
      </c>
      <c r="K69" s="2" t="s">
        <v>4</v>
      </c>
      <c r="L69" s="27">
        <v>1</v>
      </c>
      <c r="M69" s="2" t="s">
        <v>106</v>
      </c>
      <c r="N69" s="6" t="s">
        <v>344</v>
      </c>
      <c r="O69" s="2" t="s">
        <v>17</v>
      </c>
      <c r="P69" s="8">
        <v>44865</v>
      </c>
      <c r="Q69" s="2"/>
      <c r="R69" s="2"/>
    </row>
    <row r="70" spans="1:20" x14ac:dyDescent="0.25">
      <c r="A70" s="6" t="s">
        <v>142</v>
      </c>
      <c r="B70" s="39" t="s">
        <v>223</v>
      </c>
      <c r="C70" s="50" t="s">
        <v>109</v>
      </c>
      <c r="D70" s="6" t="s">
        <v>125</v>
      </c>
      <c r="E70" s="6" t="s">
        <v>409</v>
      </c>
      <c r="F70" s="29" t="s">
        <v>131</v>
      </c>
      <c r="G70" s="41">
        <v>553.99</v>
      </c>
      <c r="H70" s="41">
        <v>122.89</v>
      </c>
      <c r="I70" s="40">
        <f t="shared" si="3"/>
        <v>676.88</v>
      </c>
      <c r="J70" s="6" t="s">
        <v>45</v>
      </c>
      <c r="K70" s="6" t="s">
        <v>4</v>
      </c>
      <c r="L70" s="22">
        <v>1</v>
      </c>
      <c r="M70" s="6" t="s">
        <v>106</v>
      </c>
      <c r="N70" s="5" t="s">
        <v>339</v>
      </c>
      <c r="O70" s="2" t="s">
        <v>17</v>
      </c>
      <c r="P70" s="8">
        <v>45775</v>
      </c>
      <c r="Q70" s="2"/>
      <c r="R70" s="2"/>
    </row>
    <row r="71" spans="1:20" x14ac:dyDescent="0.25">
      <c r="A71" s="6" t="s">
        <v>192</v>
      </c>
      <c r="B71" s="39" t="s">
        <v>224</v>
      </c>
      <c r="C71" s="50" t="s">
        <v>109</v>
      </c>
      <c r="D71" s="6" t="s">
        <v>124</v>
      </c>
      <c r="E71" s="6" t="s">
        <v>128</v>
      </c>
      <c r="F71" s="46">
        <v>46326</v>
      </c>
      <c r="G71" s="41">
        <v>345.48</v>
      </c>
      <c r="H71" s="41">
        <f>I71-G71</f>
        <v>110.68</v>
      </c>
      <c r="I71" s="41">
        <v>456.16</v>
      </c>
      <c r="J71" s="6" t="s">
        <v>177</v>
      </c>
      <c r="K71" s="6" t="s">
        <v>178</v>
      </c>
      <c r="L71" s="22">
        <v>1</v>
      </c>
      <c r="M71" s="6" t="s">
        <v>106</v>
      </c>
      <c r="N71" s="2" t="s">
        <v>345</v>
      </c>
      <c r="O71" s="2" t="s">
        <v>17</v>
      </c>
      <c r="P71" s="8">
        <v>45962</v>
      </c>
      <c r="Q71" s="2"/>
      <c r="R71" s="2"/>
      <c r="T71" s="13"/>
    </row>
    <row r="72" spans="1:20" x14ac:dyDescent="0.25">
      <c r="A72" s="6" t="s">
        <v>176</v>
      </c>
      <c r="B72" s="39" t="s">
        <v>260</v>
      </c>
      <c r="C72" s="50" t="s">
        <v>109</v>
      </c>
      <c r="D72" s="6" t="s">
        <v>124</v>
      </c>
      <c r="E72" s="6" t="s">
        <v>128</v>
      </c>
      <c r="F72" s="46">
        <v>46326</v>
      </c>
      <c r="G72" s="41">
        <v>389.25</v>
      </c>
      <c r="H72" s="41">
        <v>116.05</v>
      </c>
      <c r="I72" s="41">
        <v>505.3</v>
      </c>
      <c r="J72" s="6" t="s">
        <v>177</v>
      </c>
      <c r="K72" s="6" t="s">
        <v>178</v>
      </c>
      <c r="L72" s="22">
        <v>1</v>
      </c>
      <c r="M72" s="6" t="s">
        <v>106</v>
      </c>
      <c r="N72" s="2" t="s">
        <v>346</v>
      </c>
      <c r="O72" s="2" t="s">
        <v>17</v>
      </c>
      <c r="P72" s="8">
        <v>45962</v>
      </c>
      <c r="Q72" s="2"/>
      <c r="R72" s="2"/>
      <c r="T72" s="13"/>
    </row>
    <row r="73" spans="1:20" x14ac:dyDescent="0.25">
      <c r="A73" s="6" t="s">
        <v>175</v>
      </c>
      <c r="B73" s="39" t="s">
        <v>261</v>
      </c>
      <c r="C73" s="50" t="s">
        <v>109</v>
      </c>
      <c r="D73" s="6" t="s">
        <v>124</v>
      </c>
      <c r="E73" s="6" t="s">
        <v>128</v>
      </c>
      <c r="F73" s="46">
        <v>46326</v>
      </c>
      <c r="G73" s="41">
        <v>374.25</v>
      </c>
      <c r="H73" s="41">
        <f>I73-G73</f>
        <v>113.56</v>
      </c>
      <c r="I73" s="41">
        <v>487.81</v>
      </c>
      <c r="J73" s="6" t="s">
        <v>177</v>
      </c>
      <c r="K73" s="6" t="s">
        <v>178</v>
      </c>
      <c r="L73" s="22">
        <v>1</v>
      </c>
      <c r="M73" s="6" t="s">
        <v>106</v>
      </c>
      <c r="N73" s="2" t="s">
        <v>347</v>
      </c>
      <c r="O73" s="2" t="s">
        <v>17</v>
      </c>
      <c r="P73" s="8">
        <v>45962</v>
      </c>
      <c r="Q73" s="2"/>
      <c r="R73" s="2"/>
    </row>
    <row r="74" spans="1:20" ht="30" x14ac:dyDescent="0.25">
      <c r="A74" s="4" t="s">
        <v>56</v>
      </c>
      <c r="B74" s="39" t="s">
        <v>263</v>
      </c>
      <c r="C74" s="39" t="s">
        <v>109</v>
      </c>
      <c r="D74" s="4" t="s">
        <v>124</v>
      </c>
      <c r="E74" s="4" t="s">
        <v>408</v>
      </c>
      <c r="F74" s="45">
        <v>46190</v>
      </c>
      <c r="G74" s="40">
        <v>269.17</v>
      </c>
      <c r="H74" s="40">
        <v>169.65</v>
      </c>
      <c r="I74" s="40">
        <f t="shared" ref="I74:I85" si="4">G74+H74</f>
        <v>438.82000000000005</v>
      </c>
      <c r="J74" s="4" t="s">
        <v>47</v>
      </c>
      <c r="K74" s="4" t="s">
        <v>5</v>
      </c>
      <c r="L74" s="26">
        <v>1</v>
      </c>
      <c r="M74" s="4" t="s">
        <v>106</v>
      </c>
      <c r="N74" s="6" t="s">
        <v>348</v>
      </c>
      <c r="O74" s="2" t="s">
        <v>17</v>
      </c>
      <c r="P74" s="10">
        <v>44368</v>
      </c>
      <c r="Q74" s="4"/>
      <c r="R74" s="2"/>
    </row>
    <row r="75" spans="1:20" ht="30" x14ac:dyDescent="0.25">
      <c r="A75" s="4" t="s">
        <v>57</v>
      </c>
      <c r="B75" s="39" t="s">
        <v>264</v>
      </c>
      <c r="C75" s="39" t="s">
        <v>110</v>
      </c>
      <c r="D75" s="4" t="s">
        <v>124</v>
      </c>
      <c r="E75" s="4" t="s">
        <v>127</v>
      </c>
      <c r="F75" s="45">
        <v>44993</v>
      </c>
      <c r="G75" s="40">
        <v>449.52</v>
      </c>
      <c r="H75" s="40">
        <v>117.57</v>
      </c>
      <c r="I75" s="40">
        <f t="shared" si="4"/>
        <v>567.08999999999992</v>
      </c>
      <c r="J75" s="4" t="s">
        <v>47</v>
      </c>
      <c r="K75" s="4" t="s">
        <v>5</v>
      </c>
      <c r="L75" s="26">
        <v>1</v>
      </c>
      <c r="M75" s="4" t="s">
        <v>106</v>
      </c>
      <c r="N75" s="7" t="s">
        <v>349</v>
      </c>
      <c r="O75" s="2" t="s">
        <v>17</v>
      </c>
      <c r="P75" s="10">
        <v>44813</v>
      </c>
      <c r="Q75" s="4"/>
      <c r="R75" s="2"/>
      <c r="T75" s="13"/>
    </row>
    <row r="76" spans="1:20" ht="30" x14ac:dyDescent="0.25">
      <c r="A76" s="4" t="s">
        <v>285</v>
      </c>
      <c r="B76" s="39" t="s">
        <v>284</v>
      </c>
      <c r="C76" s="39" t="s">
        <v>109</v>
      </c>
      <c r="D76" s="4" t="s">
        <v>124</v>
      </c>
      <c r="E76" s="4" t="s">
        <v>127</v>
      </c>
      <c r="F76" s="45">
        <v>47573</v>
      </c>
      <c r="G76" s="40">
        <v>494.35</v>
      </c>
      <c r="H76" s="40">
        <v>149.88999999999999</v>
      </c>
      <c r="I76" s="40">
        <f t="shared" si="4"/>
        <v>644.24</v>
      </c>
      <c r="J76" s="4" t="s">
        <v>47</v>
      </c>
      <c r="K76" s="4" t="s">
        <v>5</v>
      </c>
      <c r="L76" s="26">
        <v>1</v>
      </c>
      <c r="M76" s="4" t="s">
        <v>106</v>
      </c>
      <c r="N76" s="6" t="s">
        <v>347</v>
      </c>
      <c r="O76" s="2" t="s">
        <v>17</v>
      </c>
      <c r="P76" s="8">
        <v>44596</v>
      </c>
      <c r="Q76" s="2"/>
      <c r="R76" s="2"/>
      <c r="T76" s="13"/>
    </row>
    <row r="77" spans="1:20" ht="30" x14ac:dyDescent="0.25">
      <c r="A77" s="4" t="s">
        <v>49</v>
      </c>
      <c r="B77" s="39" t="s">
        <v>262</v>
      </c>
      <c r="C77" s="39" t="s">
        <v>111</v>
      </c>
      <c r="D77" s="4" t="s">
        <v>124</v>
      </c>
      <c r="E77" s="4" t="s">
        <v>127</v>
      </c>
      <c r="F77" s="45">
        <v>46297</v>
      </c>
      <c r="G77" s="40">
        <v>270.95</v>
      </c>
      <c r="H77" s="40">
        <v>90.71</v>
      </c>
      <c r="I77" s="40">
        <f t="shared" si="4"/>
        <v>361.65999999999997</v>
      </c>
      <c r="J77" s="4" t="s">
        <v>47</v>
      </c>
      <c r="K77" s="4" t="s">
        <v>5</v>
      </c>
      <c r="L77" s="26">
        <v>1</v>
      </c>
      <c r="M77" s="4" t="s">
        <v>106</v>
      </c>
      <c r="N77" s="6" t="s">
        <v>350</v>
      </c>
      <c r="O77" s="2" t="s">
        <v>17</v>
      </c>
      <c r="P77" s="10">
        <v>43759</v>
      </c>
      <c r="Q77" s="2"/>
      <c r="R77" s="2"/>
    </row>
    <row r="78" spans="1:20" ht="30" x14ac:dyDescent="0.25">
      <c r="A78" s="4" t="s">
        <v>54</v>
      </c>
      <c r="B78" s="39" t="s">
        <v>262</v>
      </c>
      <c r="C78" s="39" t="s">
        <v>111</v>
      </c>
      <c r="D78" s="4" t="s">
        <v>124</v>
      </c>
      <c r="E78" s="4" t="s">
        <v>127</v>
      </c>
      <c r="F78" s="45">
        <v>46297</v>
      </c>
      <c r="G78" s="40">
        <v>270.95</v>
      </c>
      <c r="H78" s="40">
        <v>90.71</v>
      </c>
      <c r="I78" s="40">
        <f t="shared" si="4"/>
        <v>361.65999999999997</v>
      </c>
      <c r="J78" s="4" t="s">
        <v>47</v>
      </c>
      <c r="K78" s="4" t="s">
        <v>5</v>
      </c>
      <c r="L78" s="26">
        <v>1</v>
      </c>
      <c r="M78" s="4" t="s">
        <v>106</v>
      </c>
      <c r="N78" s="2" t="s">
        <v>351</v>
      </c>
      <c r="O78" s="2" t="s">
        <v>17</v>
      </c>
      <c r="P78" s="10">
        <v>43770</v>
      </c>
      <c r="Q78" s="4"/>
      <c r="R78" s="2"/>
    </row>
    <row r="79" spans="1:20" ht="30" x14ac:dyDescent="0.25">
      <c r="A79" s="4" t="s">
        <v>53</v>
      </c>
      <c r="B79" s="39" t="s">
        <v>262</v>
      </c>
      <c r="C79" s="39" t="s">
        <v>111</v>
      </c>
      <c r="D79" s="4" t="s">
        <v>124</v>
      </c>
      <c r="E79" s="4" t="s">
        <v>127</v>
      </c>
      <c r="F79" s="45">
        <v>46297</v>
      </c>
      <c r="G79" s="40">
        <v>270.95</v>
      </c>
      <c r="H79" s="40">
        <v>90.71</v>
      </c>
      <c r="I79" s="40">
        <f t="shared" si="4"/>
        <v>361.65999999999997</v>
      </c>
      <c r="J79" s="4" t="s">
        <v>47</v>
      </c>
      <c r="K79" s="4" t="s">
        <v>5</v>
      </c>
      <c r="L79" s="26">
        <v>1</v>
      </c>
      <c r="M79" s="4" t="s">
        <v>106</v>
      </c>
      <c r="N79" s="6" t="s">
        <v>352</v>
      </c>
      <c r="O79" s="2" t="s">
        <v>17</v>
      </c>
      <c r="P79" s="10">
        <v>43759</v>
      </c>
      <c r="Q79" s="2"/>
      <c r="R79" s="2"/>
    </row>
    <row r="80" spans="1:20" ht="30" x14ac:dyDescent="0.25">
      <c r="A80" s="4" t="s">
        <v>51</v>
      </c>
      <c r="B80" s="39" t="s">
        <v>262</v>
      </c>
      <c r="C80" s="39" t="s">
        <v>111</v>
      </c>
      <c r="D80" s="4" t="s">
        <v>124</v>
      </c>
      <c r="E80" s="4" t="s">
        <v>127</v>
      </c>
      <c r="F80" s="45">
        <v>46297</v>
      </c>
      <c r="G80" s="40">
        <v>270.95</v>
      </c>
      <c r="H80" s="40">
        <v>90.71</v>
      </c>
      <c r="I80" s="40">
        <f t="shared" si="4"/>
        <v>361.65999999999997</v>
      </c>
      <c r="J80" s="4" t="s">
        <v>47</v>
      </c>
      <c r="K80" s="4" t="s">
        <v>5</v>
      </c>
      <c r="L80" s="26">
        <v>1</v>
      </c>
      <c r="M80" s="4" t="s">
        <v>106</v>
      </c>
      <c r="N80" s="7" t="s">
        <v>353</v>
      </c>
      <c r="O80" s="2" t="s">
        <v>17</v>
      </c>
      <c r="P80" s="8">
        <v>44109</v>
      </c>
      <c r="Q80" s="2"/>
      <c r="R80" s="2"/>
      <c r="T80" s="13"/>
    </row>
    <row r="81" spans="1:20" ht="30" x14ac:dyDescent="0.25">
      <c r="A81" s="4" t="s">
        <v>46</v>
      </c>
      <c r="B81" s="39" t="s">
        <v>262</v>
      </c>
      <c r="C81" s="39" t="s">
        <v>111</v>
      </c>
      <c r="D81" s="4" t="s">
        <v>124</v>
      </c>
      <c r="E81" s="4" t="s">
        <v>127</v>
      </c>
      <c r="F81" s="45">
        <v>46297</v>
      </c>
      <c r="G81" s="40">
        <v>270.95</v>
      </c>
      <c r="H81" s="40">
        <v>90.71</v>
      </c>
      <c r="I81" s="40">
        <f t="shared" si="4"/>
        <v>361.65999999999997</v>
      </c>
      <c r="J81" s="4" t="s">
        <v>47</v>
      </c>
      <c r="K81" s="4" t="s">
        <v>5</v>
      </c>
      <c r="L81" s="26">
        <v>1</v>
      </c>
      <c r="M81" s="4" t="s">
        <v>106</v>
      </c>
      <c r="N81" s="6" t="s">
        <v>307</v>
      </c>
      <c r="O81" s="2" t="s">
        <v>17</v>
      </c>
      <c r="P81" s="8">
        <v>43759</v>
      </c>
      <c r="Q81" s="2"/>
      <c r="R81" s="2"/>
    </row>
    <row r="82" spans="1:20" ht="30" x14ac:dyDescent="0.25">
      <c r="A82" s="4" t="s">
        <v>55</v>
      </c>
      <c r="B82" s="39" t="s">
        <v>262</v>
      </c>
      <c r="C82" s="39" t="s">
        <v>111</v>
      </c>
      <c r="D82" s="4" t="s">
        <v>124</v>
      </c>
      <c r="E82" s="4" t="s">
        <v>127</v>
      </c>
      <c r="F82" s="45">
        <v>46297</v>
      </c>
      <c r="G82" s="40">
        <v>278.5</v>
      </c>
      <c r="H82" s="40">
        <v>87.9</v>
      </c>
      <c r="I82" s="40">
        <f t="shared" si="4"/>
        <v>366.4</v>
      </c>
      <c r="J82" s="4" t="s">
        <v>47</v>
      </c>
      <c r="K82" s="4" t="s">
        <v>5</v>
      </c>
      <c r="L82" s="26">
        <v>1</v>
      </c>
      <c r="M82" s="4" t="s">
        <v>106</v>
      </c>
      <c r="N82" s="2" t="s">
        <v>354</v>
      </c>
      <c r="O82" s="2" t="s">
        <v>17</v>
      </c>
      <c r="P82" s="8">
        <v>45544</v>
      </c>
      <c r="Q82" s="2"/>
      <c r="R82" s="2"/>
    </row>
    <row r="83" spans="1:20" ht="30" x14ac:dyDescent="0.25">
      <c r="A83" s="4" t="s">
        <v>52</v>
      </c>
      <c r="B83" s="39" t="s">
        <v>262</v>
      </c>
      <c r="C83" s="39" t="s">
        <v>111</v>
      </c>
      <c r="D83" s="4" t="s">
        <v>124</v>
      </c>
      <c r="E83" s="4" t="s">
        <v>127</v>
      </c>
      <c r="F83" s="45">
        <v>46297</v>
      </c>
      <c r="G83" s="40">
        <v>270.95</v>
      </c>
      <c r="H83" s="40">
        <v>114.36</v>
      </c>
      <c r="I83" s="40">
        <f t="shared" si="4"/>
        <v>385.31</v>
      </c>
      <c r="J83" s="4" t="s">
        <v>47</v>
      </c>
      <c r="K83" s="4" t="s">
        <v>5</v>
      </c>
      <c r="L83" s="26">
        <v>1</v>
      </c>
      <c r="M83" s="4" t="s">
        <v>108</v>
      </c>
      <c r="N83" s="7" t="s">
        <v>355</v>
      </c>
      <c r="O83" s="2" t="s">
        <v>17</v>
      </c>
      <c r="P83" s="10">
        <v>43759</v>
      </c>
      <c r="Q83" s="4"/>
      <c r="R83" s="2"/>
      <c r="T83" s="13"/>
    </row>
    <row r="84" spans="1:20" ht="30" x14ac:dyDescent="0.25">
      <c r="A84" s="4" t="s">
        <v>48</v>
      </c>
      <c r="B84" s="39" t="s">
        <v>262</v>
      </c>
      <c r="C84" s="39" t="s">
        <v>111</v>
      </c>
      <c r="D84" s="4" t="s">
        <v>124</v>
      </c>
      <c r="E84" s="4" t="s">
        <v>127</v>
      </c>
      <c r="F84" s="45">
        <v>46297</v>
      </c>
      <c r="G84" s="40">
        <v>270.95</v>
      </c>
      <c r="H84" s="40">
        <v>90.71</v>
      </c>
      <c r="I84" s="40">
        <f t="shared" si="4"/>
        <v>361.65999999999997</v>
      </c>
      <c r="J84" s="4" t="s">
        <v>47</v>
      </c>
      <c r="K84" s="4" t="s">
        <v>5</v>
      </c>
      <c r="L84" s="26">
        <v>1</v>
      </c>
      <c r="M84" s="4" t="s">
        <v>106</v>
      </c>
      <c r="N84" s="4" t="s">
        <v>356</v>
      </c>
      <c r="O84" s="2" t="s">
        <v>17</v>
      </c>
      <c r="P84" s="10">
        <v>43759</v>
      </c>
      <c r="Q84" s="4"/>
      <c r="R84" s="2"/>
      <c r="T84" s="13"/>
    </row>
    <row r="85" spans="1:20" ht="30" x14ac:dyDescent="0.25">
      <c r="A85" s="4" t="s">
        <v>50</v>
      </c>
      <c r="B85" s="39" t="s">
        <v>262</v>
      </c>
      <c r="C85" s="39" t="s">
        <v>111</v>
      </c>
      <c r="D85" s="4" t="s">
        <v>124</v>
      </c>
      <c r="E85" s="4" t="s">
        <v>127</v>
      </c>
      <c r="F85" s="45">
        <v>46297</v>
      </c>
      <c r="G85" s="40">
        <v>270.95</v>
      </c>
      <c r="H85" s="40">
        <v>90.71</v>
      </c>
      <c r="I85" s="40">
        <f t="shared" si="4"/>
        <v>361.65999999999997</v>
      </c>
      <c r="J85" s="4" t="s">
        <v>47</v>
      </c>
      <c r="K85" s="4" t="s">
        <v>5</v>
      </c>
      <c r="L85" s="26">
        <v>1</v>
      </c>
      <c r="M85" s="4" t="s">
        <v>106</v>
      </c>
      <c r="N85" s="4" t="s">
        <v>357</v>
      </c>
      <c r="O85" s="2" t="s">
        <v>17</v>
      </c>
      <c r="P85" s="10">
        <v>43759</v>
      </c>
      <c r="Q85" s="4"/>
      <c r="R85" s="2"/>
      <c r="T85" s="13"/>
    </row>
    <row r="86" spans="1:20" ht="30" x14ac:dyDescent="0.25">
      <c r="A86" s="4" t="s">
        <v>61</v>
      </c>
      <c r="B86" s="39" t="s">
        <v>233</v>
      </c>
      <c r="C86" s="39" t="s">
        <v>109</v>
      </c>
      <c r="D86" s="4" t="s">
        <v>124</v>
      </c>
      <c r="E86" s="4" t="s">
        <v>127</v>
      </c>
      <c r="F86" s="45">
        <v>50974</v>
      </c>
      <c r="G86" s="40">
        <v>226.05</v>
      </c>
      <c r="H86" s="40">
        <v>83.17</v>
      </c>
      <c r="I86" s="40">
        <f t="shared" ref="I86:I99" si="5">G86+H86</f>
        <v>309.22000000000003</v>
      </c>
      <c r="J86" s="4" t="s">
        <v>59</v>
      </c>
      <c r="K86" s="4" t="s">
        <v>2</v>
      </c>
      <c r="L86" s="26">
        <v>1</v>
      </c>
      <c r="M86" s="4" t="s">
        <v>0</v>
      </c>
      <c r="N86" s="7" t="s">
        <v>358</v>
      </c>
      <c r="O86" s="2" t="s">
        <v>17</v>
      </c>
      <c r="P86" s="8">
        <v>43691</v>
      </c>
      <c r="Q86" s="2"/>
      <c r="R86" s="2"/>
    </row>
    <row r="87" spans="1:20" x14ac:dyDescent="0.25">
      <c r="A87" s="14" t="s">
        <v>61</v>
      </c>
      <c r="B87" s="39" t="s">
        <v>233</v>
      </c>
      <c r="C87" s="39" t="s">
        <v>109</v>
      </c>
      <c r="D87" s="4" t="s">
        <v>124</v>
      </c>
      <c r="E87" s="4" t="s">
        <v>127</v>
      </c>
      <c r="F87" s="45">
        <v>50974</v>
      </c>
      <c r="G87" s="40">
        <v>226.05</v>
      </c>
      <c r="H87" s="40">
        <v>83.17</v>
      </c>
      <c r="I87" s="40">
        <f t="shared" si="5"/>
        <v>309.22000000000003</v>
      </c>
      <c r="J87" s="4" t="s">
        <v>59</v>
      </c>
      <c r="K87" s="4" t="s">
        <v>2</v>
      </c>
      <c r="L87" s="21">
        <v>1</v>
      </c>
      <c r="M87" s="2" t="s">
        <v>0</v>
      </c>
      <c r="N87" s="7" t="s">
        <v>359</v>
      </c>
      <c r="O87" s="2" t="s">
        <v>17</v>
      </c>
      <c r="P87" s="8">
        <v>45670</v>
      </c>
      <c r="Q87" s="2"/>
      <c r="R87" s="2"/>
    </row>
    <row r="88" spans="1:20" x14ac:dyDescent="0.25">
      <c r="A88" s="6" t="s">
        <v>165</v>
      </c>
      <c r="B88" s="39" t="s">
        <v>265</v>
      </c>
      <c r="C88" s="50" t="s">
        <v>109</v>
      </c>
      <c r="D88" s="6" t="s">
        <v>124</v>
      </c>
      <c r="E88" s="6" t="s">
        <v>127</v>
      </c>
      <c r="F88" s="46">
        <v>45931</v>
      </c>
      <c r="G88" s="41">
        <v>504.84</v>
      </c>
      <c r="H88" s="41">
        <v>125.1</v>
      </c>
      <c r="I88" s="41">
        <f t="shared" si="5"/>
        <v>629.93999999999994</v>
      </c>
      <c r="J88" s="6" t="s">
        <v>59</v>
      </c>
      <c r="K88" s="6" t="s">
        <v>2</v>
      </c>
      <c r="L88" s="22">
        <v>1</v>
      </c>
      <c r="M88" s="6" t="s">
        <v>106</v>
      </c>
      <c r="N88" s="5" t="s">
        <v>360</v>
      </c>
      <c r="O88" s="2" t="s">
        <v>17</v>
      </c>
      <c r="P88" s="8">
        <v>45931</v>
      </c>
      <c r="Q88" s="2"/>
      <c r="R88" s="2"/>
    </row>
    <row r="89" spans="1:20" ht="30" x14ac:dyDescent="0.25">
      <c r="A89" s="4" t="s">
        <v>60</v>
      </c>
      <c r="B89" s="39" t="s">
        <v>232</v>
      </c>
      <c r="C89" s="39" t="s">
        <v>109</v>
      </c>
      <c r="D89" s="4" t="s">
        <v>124</v>
      </c>
      <c r="E89" s="4" t="s">
        <v>127</v>
      </c>
      <c r="F89" s="45">
        <v>50974</v>
      </c>
      <c r="G89" s="40">
        <v>255.88</v>
      </c>
      <c r="H89" s="40">
        <v>76.44</v>
      </c>
      <c r="I89" s="40">
        <f t="shared" si="5"/>
        <v>332.32</v>
      </c>
      <c r="J89" s="4" t="s">
        <v>59</v>
      </c>
      <c r="K89" s="4" t="s">
        <v>2</v>
      </c>
      <c r="L89" s="26">
        <v>1</v>
      </c>
      <c r="M89" s="4" t="s">
        <v>0</v>
      </c>
      <c r="N89" s="6" t="s">
        <v>361</v>
      </c>
      <c r="O89" s="2" t="s">
        <v>17</v>
      </c>
      <c r="P89" s="10">
        <v>43668</v>
      </c>
      <c r="Q89" s="4"/>
      <c r="R89" s="2"/>
    </row>
    <row r="90" spans="1:20" ht="30" x14ac:dyDescent="0.25">
      <c r="A90" s="4" t="s">
        <v>60</v>
      </c>
      <c r="B90" s="39" t="s">
        <v>232</v>
      </c>
      <c r="C90" s="39" t="s">
        <v>109</v>
      </c>
      <c r="D90" s="4" t="s">
        <v>124</v>
      </c>
      <c r="E90" s="4" t="s">
        <v>127</v>
      </c>
      <c r="F90" s="45">
        <v>50974</v>
      </c>
      <c r="G90" s="40">
        <v>255.88</v>
      </c>
      <c r="H90" s="40">
        <v>76.44</v>
      </c>
      <c r="I90" s="40">
        <f t="shared" si="5"/>
        <v>332.32</v>
      </c>
      <c r="J90" s="4" t="s">
        <v>59</v>
      </c>
      <c r="K90" s="4" t="s">
        <v>2</v>
      </c>
      <c r="L90" s="26">
        <v>1</v>
      </c>
      <c r="M90" s="4" t="s">
        <v>0</v>
      </c>
      <c r="N90" s="6" t="s">
        <v>345</v>
      </c>
      <c r="O90" s="2" t="s">
        <v>17</v>
      </c>
      <c r="P90" s="10">
        <v>43731</v>
      </c>
      <c r="Q90" s="4"/>
      <c r="R90" s="2"/>
      <c r="T90" s="13"/>
    </row>
    <row r="91" spans="1:20" ht="30" x14ac:dyDescent="0.25">
      <c r="A91" s="4" t="s">
        <v>60</v>
      </c>
      <c r="B91" s="39" t="s">
        <v>232</v>
      </c>
      <c r="C91" s="39" t="s">
        <v>109</v>
      </c>
      <c r="D91" s="4" t="s">
        <v>124</v>
      </c>
      <c r="E91" s="4" t="s">
        <v>127</v>
      </c>
      <c r="F91" s="45">
        <v>50974</v>
      </c>
      <c r="G91" s="40">
        <v>255.88</v>
      </c>
      <c r="H91" s="40">
        <v>76.44</v>
      </c>
      <c r="I91" s="40">
        <f t="shared" si="5"/>
        <v>332.32</v>
      </c>
      <c r="J91" s="4" t="s">
        <v>59</v>
      </c>
      <c r="K91" s="4" t="s">
        <v>2</v>
      </c>
      <c r="L91" s="26">
        <v>1</v>
      </c>
      <c r="M91" s="4" t="s">
        <v>0</v>
      </c>
      <c r="N91" s="6" t="s">
        <v>362</v>
      </c>
      <c r="O91" s="2" t="s">
        <v>17</v>
      </c>
      <c r="P91" s="10">
        <v>45943</v>
      </c>
      <c r="Q91" s="4"/>
      <c r="R91" s="2"/>
      <c r="T91" s="13"/>
    </row>
    <row r="92" spans="1:20" x14ac:dyDescent="0.25">
      <c r="A92" s="31" t="s">
        <v>182</v>
      </c>
      <c r="B92" s="39" t="s">
        <v>266</v>
      </c>
      <c r="C92" s="50" t="s">
        <v>109</v>
      </c>
      <c r="D92" s="6" t="s">
        <v>124</v>
      </c>
      <c r="E92" s="6" t="s">
        <v>127</v>
      </c>
      <c r="F92" s="46">
        <v>45995</v>
      </c>
      <c r="G92" s="41">
        <v>376.01</v>
      </c>
      <c r="H92" s="41">
        <v>106.23</v>
      </c>
      <c r="I92" s="41">
        <f t="shared" si="5"/>
        <v>482.24</v>
      </c>
      <c r="J92" s="6" t="s">
        <v>59</v>
      </c>
      <c r="K92" s="6" t="s">
        <v>2</v>
      </c>
      <c r="L92" s="22">
        <v>1</v>
      </c>
      <c r="M92" s="6" t="s">
        <v>0</v>
      </c>
      <c r="N92" s="6" t="s">
        <v>297</v>
      </c>
      <c r="O92" s="2" t="s">
        <v>17</v>
      </c>
      <c r="P92" s="8">
        <v>45995</v>
      </c>
      <c r="Q92" s="2"/>
      <c r="R92" s="2"/>
      <c r="T92" s="13"/>
    </row>
    <row r="93" spans="1:20" x14ac:dyDescent="0.25">
      <c r="A93" s="31" t="s">
        <v>182</v>
      </c>
      <c r="B93" s="39" t="s">
        <v>266</v>
      </c>
      <c r="C93" s="50" t="s">
        <v>109</v>
      </c>
      <c r="D93" s="6" t="s">
        <v>124</v>
      </c>
      <c r="E93" s="6" t="s">
        <v>127</v>
      </c>
      <c r="F93" s="46">
        <v>45995</v>
      </c>
      <c r="G93" s="41">
        <v>376.01</v>
      </c>
      <c r="H93" s="41">
        <v>106.23</v>
      </c>
      <c r="I93" s="41">
        <f t="shared" si="5"/>
        <v>482.24</v>
      </c>
      <c r="J93" s="6" t="s">
        <v>59</v>
      </c>
      <c r="K93" s="6" t="s">
        <v>2</v>
      </c>
      <c r="L93" s="22">
        <v>1</v>
      </c>
      <c r="M93" s="6" t="s">
        <v>0</v>
      </c>
      <c r="N93" s="6" t="s">
        <v>363</v>
      </c>
      <c r="O93" s="2" t="s">
        <v>17</v>
      </c>
      <c r="P93" s="8">
        <v>45995</v>
      </c>
      <c r="Q93" s="2"/>
      <c r="R93" s="2"/>
    </row>
    <row r="94" spans="1:20" ht="30" x14ac:dyDescent="0.25">
      <c r="A94" s="4" t="s">
        <v>66</v>
      </c>
      <c r="B94" s="39" t="s">
        <v>267</v>
      </c>
      <c r="C94" s="39" t="s">
        <v>109</v>
      </c>
      <c r="D94" s="4" t="s">
        <v>124</v>
      </c>
      <c r="E94" s="4" t="s">
        <v>127</v>
      </c>
      <c r="F94" s="45">
        <v>47097</v>
      </c>
      <c r="G94" s="40">
        <v>241.2</v>
      </c>
      <c r="H94" s="40">
        <v>97.27</v>
      </c>
      <c r="I94" s="40">
        <f t="shared" si="5"/>
        <v>338.46999999999997</v>
      </c>
      <c r="J94" s="4" t="s">
        <v>59</v>
      </c>
      <c r="K94" s="4" t="s">
        <v>2</v>
      </c>
      <c r="L94" s="26">
        <v>1</v>
      </c>
      <c r="M94" s="4" t="s">
        <v>106</v>
      </c>
      <c r="N94" s="2" t="s">
        <v>364</v>
      </c>
      <c r="O94" s="2" t="s">
        <v>17</v>
      </c>
      <c r="P94" s="8">
        <v>45362</v>
      </c>
      <c r="Q94" s="2"/>
      <c r="R94" s="2"/>
    </row>
    <row r="95" spans="1:20" x14ac:dyDescent="0.25">
      <c r="A95" s="4" t="s">
        <v>63</v>
      </c>
      <c r="B95" s="39" t="s">
        <v>235</v>
      </c>
      <c r="C95" s="39" t="s">
        <v>109</v>
      </c>
      <c r="D95" s="4" t="s">
        <v>124</v>
      </c>
      <c r="E95" s="4" t="s">
        <v>127</v>
      </c>
      <c r="F95" s="45">
        <v>50974</v>
      </c>
      <c r="G95" s="40">
        <v>338.87</v>
      </c>
      <c r="H95" s="40">
        <v>110.33</v>
      </c>
      <c r="I95" s="40">
        <f t="shared" si="5"/>
        <v>449.2</v>
      </c>
      <c r="J95" s="4" t="s">
        <v>59</v>
      </c>
      <c r="K95" s="4" t="s">
        <v>2</v>
      </c>
      <c r="L95" s="26">
        <v>1</v>
      </c>
      <c r="M95" s="4" t="s">
        <v>106</v>
      </c>
      <c r="N95" s="5" t="s">
        <v>292</v>
      </c>
      <c r="O95" s="2" t="s">
        <v>17</v>
      </c>
      <c r="P95" s="8">
        <v>45047</v>
      </c>
      <c r="Q95" s="2"/>
      <c r="R95" s="2"/>
    </row>
    <row r="96" spans="1:20" ht="30" x14ac:dyDescent="0.25">
      <c r="A96" s="2" t="s">
        <v>62</v>
      </c>
      <c r="B96" s="39" t="s">
        <v>268</v>
      </c>
      <c r="C96" s="39" t="s">
        <v>109</v>
      </c>
      <c r="D96" s="4" t="s">
        <v>124</v>
      </c>
      <c r="E96" s="4" t="s">
        <v>127</v>
      </c>
      <c r="F96" s="45">
        <v>50974</v>
      </c>
      <c r="G96" s="40">
        <v>266.68</v>
      </c>
      <c r="H96" s="40">
        <v>76.98</v>
      </c>
      <c r="I96" s="40">
        <f t="shared" si="5"/>
        <v>343.66</v>
      </c>
      <c r="J96" s="4" t="s">
        <v>59</v>
      </c>
      <c r="K96" s="4" t="s">
        <v>2</v>
      </c>
      <c r="L96" s="27">
        <v>1</v>
      </c>
      <c r="M96" s="4" t="s">
        <v>0</v>
      </c>
      <c r="N96" s="2" t="s">
        <v>350</v>
      </c>
      <c r="O96" s="2" t="s">
        <v>17</v>
      </c>
      <c r="P96" s="10">
        <v>44025</v>
      </c>
      <c r="Q96" s="4"/>
      <c r="R96" s="2"/>
    </row>
    <row r="97" spans="1:18" ht="30" x14ac:dyDescent="0.25">
      <c r="A97" s="2" t="s">
        <v>62</v>
      </c>
      <c r="B97" s="39" t="s">
        <v>268</v>
      </c>
      <c r="C97" s="39" t="s">
        <v>109</v>
      </c>
      <c r="D97" s="4" t="s">
        <v>124</v>
      </c>
      <c r="E97" s="4" t="s">
        <v>127</v>
      </c>
      <c r="F97" s="45">
        <v>50974</v>
      </c>
      <c r="G97" s="40">
        <v>266.68</v>
      </c>
      <c r="H97" s="40">
        <v>76.98</v>
      </c>
      <c r="I97" s="40">
        <f t="shared" si="5"/>
        <v>343.66</v>
      </c>
      <c r="J97" s="4" t="s">
        <v>59</v>
      </c>
      <c r="K97" s="4" t="s">
        <v>2</v>
      </c>
      <c r="L97" s="27">
        <v>1</v>
      </c>
      <c r="M97" s="4" t="s">
        <v>0</v>
      </c>
      <c r="N97" s="2" t="s">
        <v>365</v>
      </c>
      <c r="O97" s="2" t="s">
        <v>17</v>
      </c>
      <c r="P97" s="8">
        <v>44025</v>
      </c>
      <c r="Q97" s="2"/>
      <c r="R97" s="2"/>
    </row>
    <row r="98" spans="1:18" ht="30" x14ac:dyDescent="0.25">
      <c r="A98" s="2" t="s">
        <v>62</v>
      </c>
      <c r="B98" s="39" t="s">
        <v>268</v>
      </c>
      <c r="C98" s="39" t="s">
        <v>109</v>
      </c>
      <c r="D98" s="4" t="s">
        <v>124</v>
      </c>
      <c r="E98" s="4" t="s">
        <v>127</v>
      </c>
      <c r="F98" s="45">
        <v>50974</v>
      </c>
      <c r="G98" s="40">
        <v>266.68</v>
      </c>
      <c r="H98" s="40">
        <v>76.98</v>
      </c>
      <c r="I98" s="40">
        <f t="shared" si="5"/>
        <v>343.66</v>
      </c>
      <c r="J98" s="4" t="s">
        <v>59</v>
      </c>
      <c r="K98" s="4" t="s">
        <v>2</v>
      </c>
      <c r="L98" s="27">
        <v>1</v>
      </c>
      <c r="M98" s="4" t="s">
        <v>0</v>
      </c>
      <c r="N98" s="2" t="s">
        <v>366</v>
      </c>
      <c r="O98" s="2" t="s">
        <v>17</v>
      </c>
      <c r="P98" s="10">
        <v>44025</v>
      </c>
      <c r="Q98" s="4"/>
      <c r="R98" s="2"/>
    </row>
    <row r="99" spans="1:18" ht="30" x14ac:dyDescent="0.25">
      <c r="A99" s="4" t="s">
        <v>64</v>
      </c>
      <c r="B99" s="39" t="s">
        <v>269</v>
      </c>
      <c r="C99" s="39" t="s">
        <v>109</v>
      </c>
      <c r="D99" s="4" t="s">
        <v>124</v>
      </c>
      <c r="E99" s="4" t="s">
        <v>127</v>
      </c>
      <c r="F99" s="45">
        <v>50974</v>
      </c>
      <c r="G99" s="40">
        <v>251.83</v>
      </c>
      <c r="H99" s="40">
        <v>76.459999999999994</v>
      </c>
      <c r="I99" s="40">
        <f t="shared" si="5"/>
        <v>328.29</v>
      </c>
      <c r="J99" s="4" t="s">
        <v>59</v>
      </c>
      <c r="K99" s="4" t="s">
        <v>2</v>
      </c>
      <c r="L99" s="26">
        <v>1</v>
      </c>
      <c r="M99" s="4" t="s">
        <v>0</v>
      </c>
      <c r="N99" s="2" t="s">
        <v>367</v>
      </c>
      <c r="O99" s="2" t="s">
        <v>17</v>
      </c>
      <c r="P99" s="10">
        <v>43511</v>
      </c>
      <c r="Q99" s="4"/>
      <c r="R99" s="2"/>
    </row>
    <row r="100" spans="1:18" ht="30" x14ac:dyDescent="0.25">
      <c r="A100" s="4" t="s">
        <v>64</v>
      </c>
      <c r="B100" s="39" t="s">
        <v>269</v>
      </c>
      <c r="C100" s="39" t="s">
        <v>109</v>
      </c>
      <c r="D100" s="4" t="s">
        <v>124</v>
      </c>
      <c r="E100" s="4" t="s">
        <v>127</v>
      </c>
      <c r="F100" s="45">
        <v>50974</v>
      </c>
      <c r="G100" s="40">
        <v>251.83</v>
      </c>
      <c r="H100" s="40">
        <v>76.459999999999994</v>
      </c>
      <c r="I100" s="40">
        <f t="shared" ref="I100:I101" si="6">G100+H100</f>
        <v>328.29</v>
      </c>
      <c r="J100" s="4" t="s">
        <v>59</v>
      </c>
      <c r="K100" s="4" t="s">
        <v>2</v>
      </c>
      <c r="L100" s="26">
        <v>1</v>
      </c>
      <c r="M100" s="4" t="s">
        <v>0</v>
      </c>
      <c r="N100" s="2" t="s">
        <v>368</v>
      </c>
      <c r="O100" s="2" t="s">
        <v>17</v>
      </c>
      <c r="P100" s="10">
        <v>43511</v>
      </c>
      <c r="Q100" s="4"/>
      <c r="R100" s="2"/>
    </row>
    <row r="101" spans="1:18" ht="30" x14ac:dyDescent="0.25">
      <c r="A101" s="4" t="s">
        <v>64</v>
      </c>
      <c r="B101" s="39" t="s">
        <v>269</v>
      </c>
      <c r="C101" s="39" t="s">
        <v>109</v>
      </c>
      <c r="D101" s="4" t="s">
        <v>124</v>
      </c>
      <c r="E101" s="4" t="s">
        <v>127</v>
      </c>
      <c r="F101" s="45">
        <v>50974</v>
      </c>
      <c r="G101" s="40">
        <v>251.83</v>
      </c>
      <c r="H101" s="40">
        <v>76.459999999999994</v>
      </c>
      <c r="I101" s="40">
        <f t="shared" si="6"/>
        <v>328.29</v>
      </c>
      <c r="J101" s="4" t="s">
        <v>59</v>
      </c>
      <c r="K101" s="4" t="s">
        <v>2</v>
      </c>
      <c r="L101" s="26">
        <v>1</v>
      </c>
      <c r="M101" s="4" t="s">
        <v>0</v>
      </c>
      <c r="N101" s="6" t="s">
        <v>369</v>
      </c>
      <c r="O101" s="2" t="s">
        <v>17</v>
      </c>
      <c r="P101" s="8">
        <v>43511</v>
      </c>
      <c r="Q101" s="2"/>
      <c r="R101" s="2"/>
    </row>
    <row r="102" spans="1:18" x14ac:dyDescent="0.25">
      <c r="A102" s="4" t="s">
        <v>58</v>
      </c>
      <c r="B102" s="39" t="s">
        <v>234</v>
      </c>
      <c r="C102" s="39" t="s">
        <v>111</v>
      </c>
      <c r="D102" s="4" t="s">
        <v>124</v>
      </c>
      <c r="E102" s="4" t="s">
        <v>127</v>
      </c>
      <c r="F102" s="45">
        <v>46470</v>
      </c>
      <c r="G102" s="40">
        <v>216.86</v>
      </c>
      <c r="H102" s="40">
        <v>85.05</v>
      </c>
      <c r="I102" s="40">
        <f t="shared" ref="I102:I110" si="7">G102+H102</f>
        <v>301.91000000000003</v>
      </c>
      <c r="J102" s="4" t="s">
        <v>59</v>
      </c>
      <c r="K102" s="4" t="s">
        <v>2</v>
      </c>
      <c r="L102" s="27">
        <v>1</v>
      </c>
      <c r="M102" s="4" t="s">
        <v>106</v>
      </c>
      <c r="N102" s="2" t="s">
        <v>320</v>
      </c>
      <c r="O102" s="2" t="s">
        <v>17</v>
      </c>
      <c r="P102" s="8">
        <v>45372</v>
      </c>
      <c r="Q102" s="2"/>
      <c r="R102" s="2"/>
    </row>
    <row r="103" spans="1:18" x14ac:dyDescent="0.25">
      <c r="A103" s="6" t="s">
        <v>171</v>
      </c>
      <c r="B103" s="39" t="s">
        <v>236</v>
      </c>
      <c r="C103" s="50" t="s">
        <v>111</v>
      </c>
      <c r="D103" s="6" t="s">
        <v>124</v>
      </c>
      <c r="E103" s="6" t="s">
        <v>127</v>
      </c>
      <c r="F103" s="46">
        <v>48008</v>
      </c>
      <c r="G103" s="41">
        <v>367.67</v>
      </c>
      <c r="H103" s="41">
        <v>116.38</v>
      </c>
      <c r="I103" s="41">
        <f t="shared" si="7"/>
        <v>484.05</v>
      </c>
      <c r="J103" s="6" t="s">
        <v>59</v>
      </c>
      <c r="K103" s="6" t="s">
        <v>2</v>
      </c>
      <c r="L103" s="23">
        <v>1</v>
      </c>
      <c r="M103" s="6" t="s">
        <v>106</v>
      </c>
      <c r="N103" s="7" t="s">
        <v>321</v>
      </c>
      <c r="O103" s="2" t="s">
        <v>17</v>
      </c>
      <c r="P103" s="8">
        <v>45971</v>
      </c>
      <c r="Q103" s="2"/>
      <c r="R103" s="2"/>
    </row>
    <row r="104" spans="1:18" x14ac:dyDescent="0.25">
      <c r="A104" s="6" t="s">
        <v>149</v>
      </c>
      <c r="B104" s="39" t="s">
        <v>236</v>
      </c>
      <c r="C104" s="50" t="s">
        <v>111</v>
      </c>
      <c r="D104" s="6" t="s">
        <v>124</v>
      </c>
      <c r="E104" s="6" t="s">
        <v>127</v>
      </c>
      <c r="F104" s="46">
        <v>48008</v>
      </c>
      <c r="G104" s="41">
        <v>367.67</v>
      </c>
      <c r="H104" s="41">
        <v>116.38</v>
      </c>
      <c r="I104" s="41">
        <f t="shared" si="7"/>
        <v>484.05</v>
      </c>
      <c r="J104" s="6" t="s">
        <v>59</v>
      </c>
      <c r="K104" s="6" t="s">
        <v>2</v>
      </c>
      <c r="L104" s="23">
        <v>1</v>
      </c>
      <c r="M104" s="6" t="s">
        <v>106</v>
      </c>
      <c r="N104" s="7" t="s">
        <v>370</v>
      </c>
      <c r="O104" s="2" t="s">
        <v>17</v>
      </c>
      <c r="P104" s="8">
        <v>45817</v>
      </c>
      <c r="Q104" s="2"/>
      <c r="R104" s="2"/>
    </row>
    <row r="105" spans="1:18" x14ac:dyDescent="0.25">
      <c r="A105" s="6" t="s">
        <v>156</v>
      </c>
      <c r="B105" s="39" t="s">
        <v>236</v>
      </c>
      <c r="C105" s="50" t="s">
        <v>111</v>
      </c>
      <c r="D105" s="6" t="s">
        <v>124</v>
      </c>
      <c r="E105" s="6" t="s">
        <v>127</v>
      </c>
      <c r="F105" s="46">
        <v>48008</v>
      </c>
      <c r="G105" s="41">
        <v>367.67</v>
      </c>
      <c r="H105" s="41">
        <v>116.38</v>
      </c>
      <c r="I105" s="41">
        <f t="shared" si="7"/>
        <v>484.05</v>
      </c>
      <c r="J105" s="6" t="s">
        <v>59</v>
      </c>
      <c r="K105" s="6" t="s">
        <v>2</v>
      </c>
      <c r="L105" s="23">
        <v>1</v>
      </c>
      <c r="M105" s="6" t="s">
        <v>106</v>
      </c>
      <c r="N105" s="7" t="s">
        <v>332</v>
      </c>
      <c r="O105" s="2" t="s">
        <v>17</v>
      </c>
      <c r="P105" s="8">
        <v>45845</v>
      </c>
      <c r="Q105" s="2"/>
      <c r="R105" s="2"/>
    </row>
    <row r="106" spans="1:18" x14ac:dyDescent="0.25">
      <c r="A106" s="6" t="s">
        <v>152</v>
      </c>
      <c r="B106" s="39" t="s">
        <v>236</v>
      </c>
      <c r="C106" s="50" t="s">
        <v>111</v>
      </c>
      <c r="D106" s="6" t="s">
        <v>124</v>
      </c>
      <c r="E106" s="6" t="s">
        <v>127</v>
      </c>
      <c r="F106" s="46">
        <v>48008</v>
      </c>
      <c r="G106" s="41">
        <v>367.67</v>
      </c>
      <c r="H106" s="41">
        <v>116.38</v>
      </c>
      <c r="I106" s="41">
        <f t="shared" si="7"/>
        <v>484.05</v>
      </c>
      <c r="J106" s="6" t="s">
        <v>59</v>
      </c>
      <c r="K106" s="6" t="s">
        <v>2</v>
      </c>
      <c r="L106" s="23">
        <v>1</v>
      </c>
      <c r="M106" s="6" t="s">
        <v>106</v>
      </c>
      <c r="N106" s="37"/>
      <c r="O106" s="2" t="s">
        <v>65</v>
      </c>
      <c r="P106" s="8"/>
      <c r="Q106" s="2"/>
      <c r="R106" s="2"/>
    </row>
    <row r="107" spans="1:18" x14ac:dyDescent="0.25">
      <c r="A107" s="6" t="s">
        <v>157</v>
      </c>
      <c r="B107" s="39" t="s">
        <v>236</v>
      </c>
      <c r="C107" s="50" t="s">
        <v>111</v>
      </c>
      <c r="D107" s="6" t="s">
        <v>124</v>
      </c>
      <c r="E107" s="6" t="s">
        <v>127</v>
      </c>
      <c r="F107" s="46">
        <v>48008</v>
      </c>
      <c r="G107" s="41">
        <v>367.67</v>
      </c>
      <c r="H107" s="41">
        <v>116.38</v>
      </c>
      <c r="I107" s="41">
        <f t="shared" si="7"/>
        <v>484.05</v>
      </c>
      <c r="J107" s="6" t="s">
        <v>59</v>
      </c>
      <c r="K107" s="6" t="s">
        <v>2</v>
      </c>
      <c r="L107" s="22">
        <v>1</v>
      </c>
      <c r="M107" s="6" t="s">
        <v>106</v>
      </c>
      <c r="N107" s="7" t="s">
        <v>287</v>
      </c>
      <c r="O107" s="2" t="s">
        <v>17</v>
      </c>
      <c r="P107" s="8">
        <v>45873</v>
      </c>
      <c r="Q107" s="2"/>
      <c r="R107" s="2"/>
    </row>
    <row r="108" spans="1:18" ht="15" customHeight="1" x14ac:dyDescent="0.25">
      <c r="A108" s="6" t="s">
        <v>193</v>
      </c>
      <c r="B108" s="39" t="s">
        <v>236</v>
      </c>
      <c r="C108" s="50" t="s">
        <v>111</v>
      </c>
      <c r="D108" s="6" t="s">
        <v>124</v>
      </c>
      <c r="E108" s="6" t="s">
        <v>127</v>
      </c>
      <c r="F108" s="46">
        <v>48008</v>
      </c>
      <c r="G108" s="41">
        <v>367.67</v>
      </c>
      <c r="H108" s="41">
        <v>116.38</v>
      </c>
      <c r="I108" s="41">
        <f t="shared" si="7"/>
        <v>484.05</v>
      </c>
      <c r="J108" s="6" t="s">
        <v>59</v>
      </c>
      <c r="K108" s="6" t="s">
        <v>2</v>
      </c>
      <c r="L108" s="23">
        <v>1</v>
      </c>
      <c r="M108" s="6" t="s">
        <v>106</v>
      </c>
      <c r="N108" s="6" t="s">
        <v>371</v>
      </c>
      <c r="O108" s="2" t="s">
        <v>17</v>
      </c>
      <c r="P108" s="8">
        <v>45824</v>
      </c>
      <c r="Q108" s="2"/>
      <c r="R108" s="2"/>
    </row>
    <row r="109" spans="1:18" x14ac:dyDescent="0.25">
      <c r="A109" s="6" t="s">
        <v>150</v>
      </c>
      <c r="B109" s="39" t="s">
        <v>236</v>
      </c>
      <c r="C109" s="50" t="s">
        <v>111</v>
      </c>
      <c r="D109" s="6" t="s">
        <v>124</v>
      </c>
      <c r="E109" s="6" t="s">
        <v>127</v>
      </c>
      <c r="F109" s="46">
        <v>48008</v>
      </c>
      <c r="G109" s="41">
        <v>367.67</v>
      </c>
      <c r="H109" s="41">
        <v>116.38</v>
      </c>
      <c r="I109" s="41">
        <f t="shared" si="7"/>
        <v>484.05</v>
      </c>
      <c r="J109" s="6" t="s">
        <v>59</v>
      </c>
      <c r="K109" s="6" t="s">
        <v>2</v>
      </c>
      <c r="L109" s="23">
        <v>1</v>
      </c>
      <c r="M109" s="6" t="s">
        <v>106</v>
      </c>
      <c r="N109" s="7" t="s">
        <v>372</v>
      </c>
      <c r="O109" s="2" t="s">
        <v>17</v>
      </c>
      <c r="P109" s="8">
        <v>46099</v>
      </c>
      <c r="Q109" s="2"/>
      <c r="R109" s="2"/>
    </row>
    <row r="110" spans="1:18" x14ac:dyDescent="0.25">
      <c r="A110" s="4" t="s">
        <v>137</v>
      </c>
      <c r="B110" s="39" t="s">
        <v>225</v>
      </c>
      <c r="C110" s="39" t="s">
        <v>110</v>
      </c>
      <c r="D110" s="4" t="s">
        <v>124</v>
      </c>
      <c r="E110" s="4" t="s">
        <v>127</v>
      </c>
      <c r="F110" s="45">
        <v>47249</v>
      </c>
      <c r="G110" s="40">
        <v>396.81</v>
      </c>
      <c r="H110" s="40">
        <v>114.11</v>
      </c>
      <c r="I110" s="40">
        <f t="shared" si="7"/>
        <v>510.92</v>
      </c>
      <c r="J110" s="4" t="s">
        <v>67</v>
      </c>
      <c r="K110" s="4" t="s">
        <v>3</v>
      </c>
      <c r="L110" s="26">
        <v>1</v>
      </c>
      <c r="M110" s="4" t="s">
        <v>106</v>
      </c>
      <c r="N110" s="2" t="s">
        <v>324</v>
      </c>
      <c r="O110" s="2" t="s">
        <v>17</v>
      </c>
      <c r="P110" s="8">
        <v>45516</v>
      </c>
      <c r="Q110" s="2"/>
      <c r="R110" s="2"/>
    </row>
    <row r="111" spans="1:18" ht="30" x14ac:dyDescent="0.25">
      <c r="A111" s="4" t="s">
        <v>68</v>
      </c>
      <c r="B111" s="39" t="s">
        <v>271</v>
      </c>
      <c r="C111" s="39" t="s">
        <v>111</v>
      </c>
      <c r="D111" s="4" t="s">
        <v>124</v>
      </c>
      <c r="E111" s="4" t="s">
        <v>127</v>
      </c>
      <c r="F111" s="45">
        <v>45322</v>
      </c>
      <c r="G111" s="40">
        <v>178.41</v>
      </c>
      <c r="H111" s="40">
        <v>83.2</v>
      </c>
      <c r="I111" s="40">
        <f t="shared" ref="I111:I118" si="8">G111+H111</f>
        <v>261.61</v>
      </c>
      <c r="J111" s="4" t="s">
        <v>69</v>
      </c>
      <c r="K111" s="4" t="s">
        <v>1</v>
      </c>
      <c r="L111" s="26">
        <v>1</v>
      </c>
      <c r="M111" s="4" t="s">
        <v>0</v>
      </c>
      <c r="N111" s="2" t="s">
        <v>373</v>
      </c>
      <c r="O111" s="2" t="s">
        <v>17</v>
      </c>
      <c r="P111" s="10">
        <v>43399</v>
      </c>
      <c r="Q111" s="4"/>
      <c r="R111" s="2"/>
    </row>
    <row r="112" spans="1:18" ht="30" x14ac:dyDescent="0.25">
      <c r="A112" s="4" t="s">
        <v>68</v>
      </c>
      <c r="B112" s="39" t="s">
        <v>271</v>
      </c>
      <c r="C112" s="39" t="s">
        <v>111</v>
      </c>
      <c r="D112" s="4" t="s">
        <v>124</v>
      </c>
      <c r="E112" s="4" t="s">
        <v>127</v>
      </c>
      <c r="F112" s="45">
        <v>45322</v>
      </c>
      <c r="G112" s="40">
        <v>178.41</v>
      </c>
      <c r="H112" s="40">
        <v>83.2</v>
      </c>
      <c r="I112" s="40">
        <f t="shared" si="8"/>
        <v>261.61</v>
      </c>
      <c r="J112" s="4" t="s">
        <v>69</v>
      </c>
      <c r="K112" s="4" t="s">
        <v>1</v>
      </c>
      <c r="L112" s="26">
        <v>1</v>
      </c>
      <c r="M112" s="4" t="s">
        <v>0</v>
      </c>
      <c r="N112" s="2" t="s">
        <v>332</v>
      </c>
      <c r="O112" s="2" t="s">
        <v>17</v>
      </c>
      <c r="P112" s="10">
        <v>43399</v>
      </c>
      <c r="Q112" s="4"/>
      <c r="R112" s="2"/>
    </row>
    <row r="113" spans="1:20" ht="30" x14ac:dyDescent="0.25">
      <c r="A113" s="4" t="s">
        <v>70</v>
      </c>
      <c r="B113" s="39" t="s">
        <v>270</v>
      </c>
      <c r="C113" s="39" t="s">
        <v>111</v>
      </c>
      <c r="D113" s="4" t="s">
        <v>124</v>
      </c>
      <c r="E113" s="4" t="s">
        <v>127</v>
      </c>
      <c r="F113" s="45">
        <v>45322</v>
      </c>
      <c r="G113" s="40">
        <v>246.66</v>
      </c>
      <c r="H113" s="40">
        <v>85.07</v>
      </c>
      <c r="I113" s="40">
        <f t="shared" si="8"/>
        <v>331.73</v>
      </c>
      <c r="J113" s="4" t="s">
        <v>69</v>
      </c>
      <c r="K113" s="4" t="s">
        <v>1</v>
      </c>
      <c r="L113" s="26">
        <v>1</v>
      </c>
      <c r="M113" s="4" t="s">
        <v>106</v>
      </c>
      <c r="N113" s="2" t="s">
        <v>374</v>
      </c>
      <c r="O113" s="2" t="s">
        <v>17</v>
      </c>
      <c r="P113" s="8">
        <v>43381</v>
      </c>
      <c r="Q113" s="2"/>
      <c r="R113" s="2"/>
    </row>
    <row r="114" spans="1:20" x14ac:dyDescent="0.25">
      <c r="A114" s="6" t="s">
        <v>238</v>
      </c>
      <c r="B114" s="39" t="s">
        <v>237</v>
      </c>
      <c r="C114" s="50" t="s">
        <v>109</v>
      </c>
      <c r="D114" s="6" t="s">
        <v>124</v>
      </c>
      <c r="E114" s="6" t="s">
        <v>408</v>
      </c>
      <c r="F114" s="46">
        <v>46578</v>
      </c>
      <c r="G114" s="41">
        <v>244.09</v>
      </c>
      <c r="H114" s="41">
        <v>89.14</v>
      </c>
      <c r="I114" s="41">
        <f t="shared" si="8"/>
        <v>333.23</v>
      </c>
      <c r="J114" s="6" t="s">
        <v>69</v>
      </c>
      <c r="K114" s="6" t="s">
        <v>1</v>
      </c>
      <c r="L114" s="23">
        <v>1</v>
      </c>
      <c r="M114" s="6" t="s">
        <v>106</v>
      </c>
      <c r="N114" s="7" t="s">
        <v>375</v>
      </c>
      <c r="O114" s="2" t="s">
        <v>17</v>
      </c>
      <c r="P114" s="8">
        <v>45848</v>
      </c>
      <c r="Q114" s="2"/>
      <c r="R114" s="2"/>
    </row>
    <row r="115" spans="1:20" ht="30" x14ac:dyDescent="0.25">
      <c r="A115" s="4" t="s">
        <v>138</v>
      </c>
      <c r="B115" s="39" t="s">
        <v>272</v>
      </c>
      <c r="C115" s="39" t="s">
        <v>109</v>
      </c>
      <c r="D115" s="4" t="s">
        <v>124</v>
      </c>
      <c r="E115" s="4" t="s">
        <v>127</v>
      </c>
      <c r="F115" s="45">
        <v>47485</v>
      </c>
      <c r="G115" s="40">
        <v>280.69</v>
      </c>
      <c r="H115" s="40">
        <v>99.65</v>
      </c>
      <c r="I115" s="40">
        <f t="shared" si="8"/>
        <v>380.34000000000003</v>
      </c>
      <c r="J115" s="4" t="s">
        <v>69</v>
      </c>
      <c r="K115" s="4" t="s">
        <v>1</v>
      </c>
      <c r="L115" s="26">
        <v>1</v>
      </c>
      <c r="M115" s="4" t="s">
        <v>106</v>
      </c>
      <c r="N115" s="2" t="s">
        <v>376</v>
      </c>
      <c r="O115" s="2" t="s">
        <v>17</v>
      </c>
      <c r="P115" s="8">
        <v>45384</v>
      </c>
      <c r="Q115" s="2"/>
      <c r="R115" s="2"/>
    </row>
    <row r="116" spans="1:20" x14ac:dyDescent="0.25">
      <c r="A116" s="6" t="s">
        <v>194</v>
      </c>
      <c r="B116" s="39" t="s">
        <v>226</v>
      </c>
      <c r="C116" s="50" t="s">
        <v>109</v>
      </c>
      <c r="D116" s="6" t="s">
        <v>124</v>
      </c>
      <c r="E116" s="6" t="s">
        <v>128</v>
      </c>
      <c r="F116" s="46">
        <v>46844</v>
      </c>
      <c r="G116" s="41">
        <v>231.74</v>
      </c>
      <c r="H116" s="41">
        <v>138.6</v>
      </c>
      <c r="I116" s="41">
        <f t="shared" si="8"/>
        <v>370.34000000000003</v>
      </c>
      <c r="J116" s="6" t="s">
        <v>188</v>
      </c>
      <c r="K116" s="6" t="s">
        <v>2</v>
      </c>
      <c r="L116" s="22">
        <v>1</v>
      </c>
      <c r="M116" s="6" t="s">
        <v>0</v>
      </c>
      <c r="N116" s="6" t="s">
        <v>349</v>
      </c>
      <c r="O116" s="2" t="s">
        <v>17</v>
      </c>
      <c r="P116" s="8">
        <v>46113</v>
      </c>
      <c r="Q116" s="2"/>
      <c r="R116" s="2"/>
    </row>
    <row r="117" spans="1:20" x14ac:dyDescent="0.25">
      <c r="A117" s="6" t="s">
        <v>194</v>
      </c>
      <c r="B117" s="39" t="s">
        <v>226</v>
      </c>
      <c r="C117" s="50" t="s">
        <v>109</v>
      </c>
      <c r="D117" s="6" t="s">
        <v>124</v>
      </c>
      <c r="E117" s="6" t="s">
        <v>128</v>
      </c>
      <c r="F117" s="46">
        <v>46844</v>
      </c>
      <c r="G117" s="41">
        <v>231.74</v>
      </c>
      <c r="H117" s="41">
        <v>138.6</v>
      </c>
      <c r="I117" s="41">
        <f t="shared" si="8"/>
        <v>370.34000000000003</v>
      </c>
      <c r="J117" s="6" t="s">
        <v>188</v>
      </c>
      <c r="K117" s="6" t="s">
        <v>2</v>
      </c>
      <c r="L117" s="22">
        <v>1</v>
      </c>
      <c r="M117" s="6" t="s">
        <v>0</v>
      </c>
      <c r="N117" s="6" t="s">
        <v>340</v>
      </c>
      <c r="O117" s="2" t="s">
        <v>17</v>
      </c>
      <c r="P117" s="8">
        <v>46113</v>
      </c>
      <c r="Q117" s="2"/>
      <c r="R117" s="2"/>
    </row>
    <row r="118" spans="1:20" x14ac:dyDescent="0.25">
      <c r="A118" s="6" t="s">
        <v>194</v>
      </c>
      <c r="B118" s="39" t="s">
        <v>226</v>
      </c>
      <c r="C118" s="50" t="s">
        <v>109</v>
      </c>
      <c r="D118" s="6" t="s">
        <v>124</v>
      </c>
      <c r="E118" s="6" t="s">
        <v>128</v>
      </c>
      <c r="F118" s="46">
        <v>46844</v>
      </c>
      <c r="G118" s="41">
        <v>231.74</v>
      </c>
      <c r="H118" s="41">
        <v>138.6</v>
      </c>
      <c r="I118" s="41">
        <f t="shared" si="8"/>
        <v>370.34000000000003</v>
      </c>
      <c r="J118" s="6" t="s">
        <v>188</v>
      </c>
      <c r="K118" s="6" t="s">
        <v>2</v>
      </c>
      <c r="L118" s="22">
        <v>1</v>
      </c>
      <c r="M118" s="6" t="s">
        <v>0</v>
      </c>
      <c r="N118" s="6" t="s">
        <v>307</v>
      </c>
      <c r="O118" s="2" t="s">
        <v>17</v>
      </c>
      <c r="P118" s="8">
        <v>46113</v>
      </c>
      <c r="Q118" s="2"/>
      <c r="R118" s="2"/>
    </row>
    <row r="119" spans="1:20" ht="30" x14ac:dyDescent="0.25">
      <c r="A119" s="4" t="s">
        <v>74</v>
      </c>
      <c r="B119" s="39" t="s">
        <v>227</v>
      </c>
      <c r="C119" s="39" t="s">
        <v>111</v>
      </c>
      <c r="D119" s="4" t="s">
        <v>124</v>
      </c>
      <c r="E119" s="4" t="s">
        <v>127</v>
      </c>
      <c r="F119" s="45">
        <v>46845</v>
      </c>
      <c r="G119" s="40">
        <v>217.08</v>
      </c>
      <c r="H119" s="40">
        <v>98.65</v>
      </c>
      <c r="I119" s="40">
        <f t="shared" ref="I119:I129" si="9">G119+H119</f>
        <v>315.73</v>
      </c>
      <c r="J119" s="4" t="s">
        <v>72</v>
      </c>
      <c r="K119" s="4" t="s">
        <v>5</v>
      </c>
      <c r="L119" s="26">
        <v>1</v>
      </c>
      <c r="M119" s="4" t="s">
        <v>106</v>
      </c>
      <c r="N119" s="2" t="s">
        <v>377</v>
      </c>
      <c r="O119" s="2" t="s">
        <v>17</v>
      </c>
      <c r="P119" s="8">
        <v>42370</v>
      </c>
      <c r="Q119" s="2"/>
      <c r="R119" s="2"/>
    </row>
    <row r="120" spans="1:20" ht="30" x14ac:dyDescent="0.25">
      <c r="A120" s="4" t="s">
        <v>79</v>
      </c>
      <c r="B120" s="39" t="s">
        <v>227</v>
      </c>
      <c r="C120" s="39" t="s">
        <v>111</v>
      </c>
      <c r="D120" s="4" t="s">
        <v>124</v>
      </c>
      <c r="E120" s="4" t="s">
        <v>127</v>
      </c>
      <c r="F120" s="45">
        <v>46845</v>
      </c>
      <c r="G120" s="40">
        <v>217.08</v>
      </c>
      <c r="H120" s="40">
        <v>98.67</v>
      </c>
      <c r="I120" s="40">
        <f t="shared" si="9"/>
        <v>315.75</v>
      </c>
      <c r="J120" s="4" t="s">
        <v>72</v>
      </c>
      <c r="K120" s="4" t="s">
        <v>5</v>
      </c>
      <c r="L120" s="26">
        <v>1</v>
      </c>
      <c r="M120" s="4" t="s">
        <v>106</v>
      </c>
      <c r="N120" s="2" t="s">
        <v>378</v>
      </c>
      <c r="O120" s="2" t="s">
        <v>17</v>
      </c>
      <c r="P120" s="10">
        <v>42930</v>
      </c>
      <c r="Q120" s="4"/>
      <c r="R120" s="2"/>
    </row>
    <row r="121" spans="1:20" ht="30" x14ac:dyDescent="0.25">
      <c r="A121" s="4" t="s">
        <v>73</v>
      </c>
      <c r="B121" s="39" t="s">
        <v>227</v>
      </c>
      <c r="C121" s="39" t="s">
        <v>111</v>
      </c>
      <c r="D121" s="4" t="s">
        <v>124</v>
      </c>
      <c r="E121" s="4" t="s">
        <v>127</v>
      </c>
      <c r="F121" s="45">
        <v>46845</v>
      </c>
      <c r="G121" s="40">
        <v>217.08</v>
      </c>
      <c r="H121" s="40">
        <v>96.1</v>
      </c>
      <c r="I121" s="40">
        <f t="shared" si="9"/>
        <v>313.18</v>
      </c>
      <c r="J121" s="4" t="s">
        <v>72</v>
      </c>
      <c r="K121" s="4" t="s">
        <v>5</v>
      </c>
      <c r="L121" s="26">
        <v>1</v>
      </c>
      <c r="M121" s="4" t="s">
        <v>106</v>
      </c>
      <c r="N121" s="2" t="s">
        <v>379</v>
      </c>
      <c r="O121" s="2" t="s">
        <v>17</v>
      </c>
      <c r="P121" s="10">
        <v>44708</v>
      </c>
      <c r="Q121" s="4"/>
      <c r="R121" s="2"/>
    </row>
    <row r="122" spans="1:20" ht="30" x14ac:dyDescent="0.25">
      <c r="A122" s="4" t="s">
        <v>77</v>
      </c>
      <c r="B122" s="39" t="s">
        <v>227</v>
      </c>
      <c r="C122" s="39" t="s">
        <v>111</v>
      </c>
      <c r="D122" s="4" t="s">
        <v>124</v>
      </c>
      <c r="E122" s="4" t="s">
        <v>127</v>
      </c>
      <c r="F122" s="45">
        <v>46845</v>
      </c>
      <c r="G122" s="40">
        <v>151.96</v>
      </c>
      <c r="H122" s="40">
        <v>80.48</v>
      </c>
      <c r="I122" s="40">
        <f t="shared" si="9"/>
        <v>232.44</v>
      </c>
      <c r="J122" s="4" t="s">
        <v>72</v>
      </c>
      <c r="K122" s="4" t="s">
        <v>5</v>
      </c>
      <c r="L122" s="26">
        <v>1</v>
      </c>
      <c r="M122" s="4" t="s">
        <v>0</v>
      </c>
      <c r="N122" s="2" t="s">
        <v>324</v>
      </c>
      <c r="O122" s="2" t="s">
        <v>17</v>
      </c>
      <c r="P122" s="10">
        <v>42370</v>
      </c>
      <c r="Q122" s="4"/>
      <c r="R122" s="2"/>
    </row>
    <row r="123" spans="1:20" ht="15" customHeight="1" x14ac:dyDescent="0.25">
      <c r="A123" s="4" t="s">
        <v>77</v>
      </c>
      <c r="B123" s="39" t="s">
        <v>227</v>
      </c>
      <c r="C123" s="39" t="s">
        <v>111</v>
      </c>
      <c r="D123" s="4" t="s">
        <v>124</v>
      </c>
      <c r="E123" s="4" t="s">
        <v>127</v>
      </c>
      <c r="F123" s="45">
        <v>46845</v>
      </c>
      <c r="G123" s="40">
        <v>151.96</v>
      </c>
      <c r="H123" s="40">
        <v>80.48</v>
      </c>
      <c r="I123" s="40">
        <f t="shared" si="9"/>
        <v>232.44</v>
      </c>
      <c r="J123" s="4" t="s">
        <v>72</v>
      </c>
      <c r="K123" s="4" t="s">
        <v>5</v>
      </c>
      <c r="L123" s="26">
        <v>1</v>
      </c>
      <c r="M123" s="4" t="s">
        <v>0</v>
      </c>
      <c r="N123" s="2" t="s">
        <v>380</v>
      </c>
      <c r="O123" s="2" t="s">
        <v>17</v>
      </c>
      <c r="P123" s="10">
        <v>42370</v>
      </c>
      <c r="Q123" s="4"/>
      <c r="R123" s="2"/>
      <c r="T123" s="13"/>
    </row>
    <row r="124" spans="1:20" ht="30" x14ac:dyDescent="0.25">
      <c r="A124" s="4" t="s">
        <v>71</v>
      </c>
      <c r="B124" s="39" t="s">
        <v>227</v>
      </c>
      <c r="C124" s="39" t="s">
        <v>111</v>
      </c>
      <c r="D124" s="4" t="s">
        <v>124</v>
      </c>
      <c r="E124" s="4" t="s">
        <v>127</v>
      </c>
      <c r="F124" s="45">
        <v>46845</v>
      </c>
      <c r="G124" s="40">
        <v>151.96</v>
      </c>
      <c r="H124" s="40">
        <v>81.760000000000005</v>
      </c>
      <c r="I124" s="40">
        <f t="shared" si="9"/>
        <v>233.72000000000003</v>
      </c>
      <c r="J124" s="4" t="s">
        <v>72</v>
      </c>
      <c r="K124" s="4" t="s">
        <v>5</v>
      </c>
      <c r="L124" s="26">
        <v>1</v>
      </c>
      <c r="M124" s="4" t="s">
        <v>0</v>
      </c>
      <c r="N124" s="2" t="s">
        <v>381</v>
      </c>
      <c r="O124" s="2" t="s">
        <v>17</v>
      </c>
      <c r="P124" s="8">
        <v>42370</v>
      </c>
      <c r="Q124" s="2"/>
      <c r="R124" s="2"/>
    </row>
    <row r="125" spans="1:20" ht="30" x14ac:dyDescent="0.25">
      <c r="A125" s="4" t="s">
        <v>71</v>
      </c>
      <c r="B125" s="39" t="s">
        <v>227</v>
      </c>
      <c r="C125" s="39" t="s">
        <v>111</v>
      </c>
      <c r="D125" s="4" t="s">
        <v>124</v>
      </c>
      <c r="E125" s="4" t="s">
        <v>127</v>
      </c>
      <c r="F125" s="45">
        <v>46845</v>
      </c>
      <c r="G125" s="40">
        <v>151.96</v>
      </c>
      <c r="H125" s="40">
        <v>81.760000000000005</v>
      </c>
      <c r="I125" s="40">
        <f t="shared" si="9"/>
        <v>233.72000000000003</v>
      </c>
      <c r="J125" s="4" t="s">
        <v>72</v>
      </c>
      <c r="K125" s="4" t="s">
        <v>5</v>
      </c>
      <c r="L125" s="26">
        <v>1</v>
      </c>
      <c r="M125" s="4" t="s">
        <v>0</v>
      </c>
      <c r="N125" s="2" t="s">
        <v>382</v>
      </c>
      <c r="O125" s="2" t="s">
        <v>17</v>
      </c>
      <c r="P125" s="10">
        <v>42370</v>
      </c>
      <c r="Q125" s="2"/>
      <c r="R125" s="2"/>
    </row>
    <row r="126" spans="1:20" ht="30" x14ac:dyDescent="0.25">
      <c r="A126" s="4" t="s">
        <v>80</v>
      </c>
      <c r="B126" s="39" t="s">
        <v>227</v>
      </c>
      <c r="C126" s="39" t="s">
        <v>111</v>
      </c>
      <c r="D126" s="4" t="s">
        <v>124</v>
      </c>
      <c r="E126" s="4" t="s">
        <v>127</v>
      </c>
      <c r="F126" s="45">
        <v>46845</v>
      </c>
      <c r="G126" s="40">
        <v>171.86</v>
      </c>
      <c r="H126" s="40">
        <v>90.04</v>
      </c>
      <c r="I126" s="40">
        <f t="shared" si="9"/>
        <v>261.90000000000003</v>
      </c>
      <c r="J126" s="4" t="s">
        <v>72</v>
      </c>
      <c r="K126" s="4" t="s">
        <v>5</v>
      </c>
      <c r="L126" s="26">
        <v>1</v>
      </c>
      <c r="M126" s="4" t="s">
        <v>106</v>
      </c>
      <c r="N126" s="2" t="s">
        <v>383</v>
      </c>
      <c r="O126" s="2" t="s">
        <v>17</v>
      </c>
      <c r="P126" s="10">
        <v>42370</v>
      </c>
      <c r="Q126" s="2"/>
      <c r="R126" s="2"/>
      <c r="T126" s="13"/>
    </row>
    <row r="127" spans="1:20" ht="30" x14ac:dyDescent="0.25">
      <c r="A127" s="4" t="s">
        <v>78</v>
      </c>
      <c r="B127" s="39" t="s">
        <v>227</v>
      </c>
      <c r="C127" s="39" t="s">
        <v>111</v>
      </c>
      <c r="D127" s="4" t="s">
        <v>124</v>
      </c>
      <c r="E127" s="4" t="s">
        <v>127</v>
      </c>
      <c r="F127" s="45">
        <v>46845</v>
      </c>
      <c r="G127" s="40">
        <v>171.86</v>
      </c>
      <c r="H127" s="40">
        <v>90.04</v>
      </c>
      <c r="I127" s="40">
        <f t="shared" si="9"/>
        <v>261.90000000000003</v>
      </c>
      <c r="J127" s="4" t="s">
        <v>72</v>
      </c>
      <c r="K127" s="4" t="s">
        <v>5</v>
      </c>
      <c r="L127" s="26">
        <v>1</v>
      </c>
      <c r="M127" s="4" t="s">
        <v>106</v>
      </c>
      <c r="N127" s="2" t="s">
        <v>384</v>
      </c>
      <c r="O127" s="2" t="s">
        <v>17</v>
      </c>
      <c r="P127" s="10">
        <v>42370</v>
      </c>
      <c r="Q127" s="2"/>
      <c r="R127" s="2"/>
    </row>
    <row r="128" spans="1:20" ht="30" x14ac:dyDescent="0.25">
      <c r="A128" s="4" t="s">
        <v>76</v>
      </c>
      <c r="B128" s="39" t="s">
        <v>227</v>
      </c>
      <c r="C128" s="39" t="s">
        <v>111</v>
      </c>
      <c r="D128" s="4" t="s">
        <v>124</v>
      </c>
      <c r="E128" s="4" t="s">
        <v>127</v>
      </c>
      <c r="F128" s="45">
        <v>46845</v>
      </c>
      <c r="G128" s="40">
        <v>171.86</v>
      </c>
      <c r="H128" s="40">
        <v>90.04</v>
      </c>
      <c r="I128" s="40">
        <f t="shared" si="9"/>
        <v>261.90000000000003</v>
      </c>
      <c r="J128" s="4" t="s">
        <v>72</v>
      </c>
      <c r="K128" s="4" t="s">
        <v>5</v>
      </c>
      <c r="L128" s="26">
        <v>1</v>
      </c>
      <c r="M128" s="4" t="s">
        <v>106</v>
      </c>
      <c r="N128" s="2" t="s">
        <v>374</v>
      </c>
      <c r="O128" s="2" t="s">
        <v>17</v>
      </c>
      <c r="P128" s="8">
        <v>42928</v>
      </c>
      <c r="Q128" s="2"/>
      <c r="R128" s="2"/>
    </row>
    <row r="129" spans="1:18" ht="30" x14ac:dyDescent="0.25">
      <c r="A129" s="4" t="s">
        <v>75</v>
      </c>
      <c r="B129" s="39" t="s">
        <v>227</v>
      </c>
      <c r="C129" s="39" t="s">
        <v>111</v>
      </c>
      <c r="D129" s="4" t="s">
        <v>124</v>
      </c>
      <c r="E129" s="4" t="s">
        <v>127</v>
      </c>
      <c r="F129" s="45">
        <v>46845</v>
      </c>
      <c r="G129" s="40">
        <v>171.86</v>
      </c>
      <c r="H129" s="40">
        <v>90.04</v>
      </c>
      <c r="I129" s="40">
        <f t="shared" si="9"/>
        <v>261.90000000000003</v>
      </c>
      <c r="J129" s="4" t="s">
        <v>72</v>
      </c>
      <c r="K129" s="4" t="s">
        <v>5</v>
      </c>
      <c r="L129" s="26">
        <v>1</v>
      </c>
      <c r="M129" s="4" t="s">
        <v>106</v>
      </c>
      <c r="N129" s="2" t="s">
        <v>385</v>
      </c>
      <c r="O129" s="2" t="s">
        <v>17</v>
      </c>
      <c r="P129" s="10">
        <v>42370</v>
      </c>
      <c r="Q129" s="4"/>
      <c r="R129" s="2"/>
    </row>
    <row r="130" spans="1:18" ht="30" x14ac:dyDescent="0.25">
      <c r="A130" s="4" t="s">
        <v>81</v>
      </c>
      <c r="B130" s="39" t="s">
        <v>228</v>
      </c>
      <c r="C130" s="39" t="s">
        <v>109</v>
      </c>
      <c r="D130" s="4" t="s">
        <v>124</v>
      </c>
      <c r="E130" s="4" t="s">
        <v>127</v>
      </c>
      <c r="F130" s="45">
        <v>43373</v>
      </c>
      <c r="G130" s="40">
        <v>220.79</v>
      </c>
      <c r="H130" s="40">
        <v>64.13</v>
      </c>
      <c r="I130" s="40">
        <f t="shared" ref="I130:I138" si="10">G130+H130</f>
        <v>284.91999999999996</v>
      </c>
      <c r="J130" s="4" t="s">
        <v>82</v>
      </c>
      <c r="K130" s="4" t="s">
        <v>4</v>
      </c>
      <c r="L130" s="26">
        <v>1</v>
      </c>
      <c r="M130" s="4" t="s">
        <v>106</v>
      </c>
      <c r="N130" s="2" t="s">
        <v>386</v>
      </c>
      <c r="O130" s="2" t="s">
        <v>17</v>
      </c>
      <c r="P130" s="10">
        <v>42828</v>
      </c>
      <c r="Q130" s="4"/>
      <c r="R130" s="2"/>
    </row>
    <row r="131" spans="1:18" ht="30" x14ac:dyDescent="0.25">
      <c r="A131" s="4" t="s">
        <v>84</v>
      </c>
      <c r="B131" s="39" t="s">
        <v>228</v>
      </c>
      <c r="C131" s="39" t="s">
        <v>109</v>
      </c>
      <c r="D131" s="4" t="s">
        <v>124</v>
      </c>
      <c r="E131" s="4" t="s">
        <v>127</v>
      </c>
      <c r="F131" s="45">
        <v>43373</v>
      </c>
      <c r="G131" s="40">
        <v>203.29</v>
      </c>
      <c r="H131" s="40">
        <v>64.13</v>
      </c>
      <c r="I131" s="40">
        <f t="shared" si="10"/>
        <v>267.41999999999996</v>
      </c>
      <c r="J131" s="4" t="s">
        <v>82</v>
      </c>
      <c r="K131" s="4" t="s">
        <v>4</v>
      </c>
      <c r="L131" s="26">
        <v>1</v>
      </c>
      <c r="M131" s="4" t="s">
        <v>106</v>
      </c>
      <c r="N131" s="2" t="s">
        <v>323</v>
      </c>
      <c r="O131" s="2" t="s">
        <v>17</v>
      </c>
      <c r="P131" s="10">
        <v>42961</v>
      </c>
      <c r="Q131" s="4"/>
      <c r="R131" s="2"/>
    </row>
    <row r="132" spans="1:18" ht="30" x14ac:dyDescent="0.25">
      <c r="A132" s="4" t="s">
        <v>83</v>
      </c>
      <c r="B132" s="39" t="s">
        <v>228</v>
      </c>
      <c r="C132" s="39" t="s">
        <v>109</v>
      </c>
      <c r="D132" s="4" t="s">
        <v>124</v>
      </c>
      <c r="E132" s="4" t="s">
        <v>127</v>
      </c>
      <c r="F132" s="45">
        <v>43373</v>
      </c>
      <c r="G132" s="40">
        <v>232.36</v>
      </c>
      <c r="H132" s="40">
        <v>66.64</v>
      </c>
      <c r="I132" s="40">
        <f t="shared" si="10"/>
        <v>299</v>
      </c>
      <c r="J132" s="4" t="s">
        <v>82</v>
      </c>
      <c r="K132" s="4" t="s">
        <v>4</v>
      </c>
      <c r="L132" s="26">
        <v>1</v>
      </c>
      <c r="M132" s="4" t="s">
        <v>106</v>
      </c>
      <c r="N132" s="2" t="s">
        <v>291</v>
      </c>
      <c r="O132" s="2" t="s">
        <v>17</v>
      </c>
      <c r="P132" s="8">
        <v>42675</v>
      </c>
      <c r="Q132" s="2"/>
      <c r="R132" s="2"/>
    </row>
    <row r="133" spans="1:18" ht="30" x14ac:dyDescent="0.25">
      <c r="A133" s="4" t="s">
        <v>85</v>
      </c>
      <c r="B133" s="39" t="s">
        <v>229</v>
      </c>
      <c r="C133" s="39" t="s">
        <v>109</v>
      </c>
      <c r="D133" s="4" t="s">
        <v>125</v>
      </c>
      <c r="E133" s="4" t="s">
        <v>409</v>
      </c>
      <c r="F133" s="48" t="s">
        <v>131</v>
      </c>
      <c r="G133" s="40">
        <v>417.9</v>
      </c>
      <c r="H133" s="40">
        <v>153.72</v>
      </c>
      <c r="I133" s="40">
        <f t="shared" si="10"/>
        <v>571.62</v>
      </c>
      <c r="J133" s="4" t="s">
        <v>82</v>
      </c>
      <c r="K133" s="4" t="s">
        <v>5</v>
      </c>
      <c r="L133" s="26">
        <v>1</v>
      </c>
      <c r="M133" s="4" t="s">
        <v>106</v>
      </c>
      <c r="N133" s="2" t="s">
        <v>387</v>
      </c>
      <c r="O133" s="2" t="s">
        <v>17</v>
      </c>
      <c r="P133" s="8">
        <v>44824</v>
      </c>
      <c r="Q133" s="2"/>
      <c r="R133" s="2"/>
    </row>
    <row r="134" spans="1:18" ht="30" x14ac:dyDescent="0.25">
      <c r="A134" s="4" t="s">
        <v>95</v>
      </c>
      <c r="B134" s="39" t="s">
        <v>273</v>
      </c>
      <c r="C134" s="35" t="s">
        <v>111</v>
      </c>
      <c r="D134" s="35" t="s">
        <v>124</v>
      </c>
      <c r="E134" s="35" t="s">
        <v>127</v>
      </c>
      <c r="F134" s="36">
        <v>46845</v>
      </c>
      <c r="G134" s="40">
        <v>217.08</v>
      </c>
      <c r="H134" s="40">
        <v>99.99</v>
      </c>
      <c r="I134" s="40">
        <f t="shared" si="10"/>
        <v>317.07</v>
      </c>
      <c r="J134" s="4" t="s">
        <v>86</v>
      </c>
      <c r="K134" s="4" t="s">
        <v>5</v>
      </c>
      <c r="L134" s="26">
        <v>1</v>
      </c>
      <c r="M134" s="4" t="s">
        <v>106</v>
      </c>
      <c r="N134" s="2" t="s">
        <v>388</v>
      </c>
      <c r="O134" s="2" t="s">
        <v>17</v>
      </c>
      <c r="P134" s="8">
        <v>42248</v>
      </c>
      <c r="Q134" s="4"/>
      <c r="R134" s="2"/>
    </row>
    <row r="135" spans="1:18" ht="30" x14ac:dyDescent="0.25">
      <c r="A135" s="4" t="s">
        <v>91</v>
      </c>
      <c r="B135" s="39" t="s">
        <v>273</v>
      </c>
      <c r="C135" s="39" t="s">
        <v>109</v>
      </c>
      <c r="D135" s="4" t="s">
        <v>124</v>
      </c>
      <c r="E135" s="4" t="s">
        <v>127</v>
      </c>
      <c r="F135" s="45">
        <v>46845</v>
      </c>
      <c r="G135" s="40">
        <v>217.69</v>
      </c>
      <c r="H135" s="40">
        <v>118.4</v>
      </c>
      <c r="I135" s="40">
        <f t="shared" si="10"/>
        <v>336.09000000000003</v>
      </c>
      <c r="J135" s="4" t="s">
        <v>86</v>
      </c>
      <c r="K135" s="4" t="s">
        <v>5</v>
      </c>
      <c r="L135" s="26">
        <v>1</v>
      </c>
      <c r="M135" s="4" t="s">
        <v>106</v>
      </c>
      <c r="N135" s="7" t="s">
        <v>389</v>
      </c>
      <c r="O135" s="2" t="s">
        <v>17</v>
      </c>
      <c r="P135" s="10">
        <v>45839</v>
      </c>
      <c r="Q135" s="10"/>
      <c r="R135" s="4"/>
    </row>
    <row r="136" spans="1:18" x14ac:dyDescent="0.25">
      <c r="A136" s="6" t="s">
        <v>92</v>
      </c>
      <c r="B136" s="39" t="s">
        <v>273</v>
      </c>
      <c r="C136" s="50" t="s">
        <v>111</v>
      </c>
      <c r="D136" s="6" t="s">
        <v>124</v>
      </c>
      <c r="E136" s="6" t="s">
        <v>127</v>
      </c>
      <c r="F136" s="45">
        <v>46845</v>
      </c>
      <c r="G136" s="41">
        <v>217.08</v>
      </c>
      <c r="H136" s="41">
        <v>100.6</v>
      </c>
      <c r="I136" s="41">
        <f t="shared" si="10"/>
        <v>317.68</v>
      </c>
      <c r="J136" s="6" t="s">
        <v>86</v>
      </c>
      <c r="K136" s="6" t="s">
        <v>5</v>
      </c>
      <c r="L136" s="22">
        <v>1</v>
      </c>
      <c r="M136" s="6" t="s">
        <v>106</v>
      </c>
      <c r="N136" s="7" t="s">
        <v>390</v>
      </c>
      <c r="O136" s="2" t="s">
        <v>17</v>
      </c>
      <c r="P136" s="8">
        <v>45880</v>
      </c>
      <c r="Q136" s="2"/>
      <c r="R136" s="2"/>
    </row>
    <row r="137" spans="1:18" ht="30" x14ac:dyDescent="0.25">
      <c r="A137" s="4" t="s">
        <v>94</v>
      </c>
      <c r="B137" s="39" t="s">
        <v>273</v>
      </c>
      <c r="C137" s="39" t="s">
        <v>111</v>
      </c>
      <c r="D137" s="4" t="s">
        <v>124</v>
      </c>
      <c r="E137" s="4" t="s">
        <v>127</v>
      </c>
      <c r="F137" s="45">
        <v>46845</v>
      </c>
      <c r="G137" s="40">
        <v>217.08</v>
      </c>
      <c r="H137" s="40">
        <v>103.22</v>
      </c>
      <c r="I137" s="40">
        <f t="shared" si="10"/>
        <v>320.3</v>
      </c>
      <c r="J137" s="4" t="s">
        <v>86</v>
      </c>
      <c r="K137" s="4" t="s">
        <v>5</v>
      </c>
      <c r="L137" s="26">
        <v>1</v>
      </c>
      <c r="M137" s="4" t="s">
        <v>106</v>
      </c>
      <c r="N137" s="2" t="s">
        <v>391</v>
      </c>
      <c r="O137" s="2" t="s">
        <v>17</v>
      </c>
      <c r="P137" s="8">
        <v>44214</v>
      </c>
      <c r="Q137" s="2"/>
      <c r="R137" s="2"/>
    </row>
    <row r="138" spans="1:18" ht="30" x14ac:dyDescent="0.25">
      <c r="A138" s="4" t="s">
        <v>97</v>
      </c>
      <c r="B138" s="39" t="s">
        <v>274</v>
      </c>
      <c r="C138" s="39" t="s">
        <v>110</v>
      </c>
      <c r="D138" s="4" t="s">
        <v>124</v>
      </c>
      <c r="E138" s="4" t="s">
        <v>408</v>
      </c>
      <c r="F138" s="45">
        <v>46112</v>
      </c>
      <c r="G138" s="40">
        <v>94.35</v>
      </c>
      <c r="H138" s="40">
        <v>72.55</v>
      </c>
      <c r="I138" s="40">
        <f t="shared" si="10"/>
        <v>166.89999999999998</v>
      </c>
      <c r="J138" s="4" t="s">
        <v>86</v>
      </c>
      <c r="K138" s="4" t="s">
        <v>5</v>
      </c>
      <c r="L138" s="26">
        <v>1</v>
      </c>
      <c r="M138" s="4" t="s">
        <v>0</v>
      </c>
      <c r="N138" s="2" t="s">
        <v>392</v>
      </c>
      <c r="O138" s="2" t="s">
        <v>17</v>
      </c>
      <c r="P138" s="10">
        <v>44246</v>
      </c>
      <c r="Q138" s="2"/>
      <c r="R138" s="2"/>
    </row>
    <row r="139" spans="1:18" ht="30" x14ac:dyDescent="0.25">
      <c r="A139" s="4" t="s">
        <v>97</v>
      </c>
      <c r="B139" s="39" t="s">
        <v>274</v>
      </c>
      <c r="C139" s="39" t="s">
        <v>110</v>
      </c>
      <c r="D139" s="4" t="s">
        <v>124</v>
      </c>
      <c r="E139" s="4" t="s">
        <v>408</v>
      </c>
      <c r="F139" s="45">
        <v>46112</v>
      </c>
      <c r="G139" s="40">
        <v>94.35</v>
      </c>
      <c r="H139" s="40">
        <v>72.55</v>
      </c>
      <c r="I139" s="40">
        <f t="shared" ref="I139:I142" si="11">G139+H139</f>
        <v>166.89999999999998</v>
      </c>
      <c r="J139" s="4" t="s">
        <v>86</v>
      </c>
      <c r="K139" s="4" t="s">
        <v>5</v>
      </c>
      <c r="L139" s="26">
        <v>1</v>
      </c>
      <c r="M139" s="4" t="s">
        <v>0</v>
      </c>
      <c r="N139" s="2" t="s">
        <v>393</v>
      </c>
      <c r="O139" s="2" t="s">
        <v>17</v>
      </c>
      <c r="P139" s="10">
        <v>44246</v>
      </c>
      <c r="Q139" s="4"/>
      <c r="R139" s="2"/>
    </row>
    <row r="140" spans="1:18" ht="30" x14ac:dyDescent="0.25">
      <c r="A140" s="4" t="s">
        <v>97</v>
      </c>
      <c r="B140" s="39" t="s">
        <v>274</v>
      </c>
      <c r="C140" s="39" t="s">
        <v>110</v>
      </c>
      <c r="D140" s="4" t="s">
        <v>124</v>
      </c>
      <c r="E140" s="4" t="s">
        <v>408</v>
      </c>
      <c r="F140" s="45">
        <v>46112</v>
      </c>
      <c r="G140" s="40">
        <v>94.35</v>
      </c>
      <c r="H140" s="40">
        <v>72.55</v>
      </c>
      <c r="I140" s="40">
        <f t="shared" si="11"/>
        <v>166.89999999999998</v>
      </c>
      <c r="J140" s="4" t="s">
        <v>86</v>
      </c>
      <c r="K140" s="4" t="s">
        <v>5</v>
      </c>
      <c r="L140" s="26">
        <v>1</v>
      </c>
      <c r="M140" s="4" t="s">
        <v>0</v>
      </c>
      <c r="N140" s="2" t="s">
        <v>390</v>
      </c>
      <c r="O140" s="2" t="s">
        <v>17</v>
      </c>
      <c r="P140" s="10">
        <v>44246</v>
      </c>
      <c r="Q140" s="4"/>
      <c r="R140" s="2"/>
    </row>
    <row r="141" spans="1:18" ht="30" x14ac:dyDescent="0.25">
      <c r="A141" s="4" t="s">
        <v>97</v>
      </c>
      <c r="B141" s="39" t="s">
        <v>274</v>
      </c>
      <c r="C141" s="39" t="s">
        <v>110</v>
      </c>
      <c r="D141" s="4" t="s">
        <v>124</v>
      </c>
      <c r="E141" s="4" t="s">
        <v>408</v>
      </c>
      <c r="F141" s="45">
        <v>46112</v>
      </c>
      <c r="G141" s="40">
        <v>94.35</v>
      </c>
      <c r="H141" s="40">
        <v>72.55</v>
      </c>
      <c r="I141" s="40">
        <f t="shared" si="11"/>
        <v>166.89999999999998</v>
      </c>
      <c r="J141" s="4" t="s">
        <v>86</v>
      </c>
      <c r="K141" s="4" t="s">
        <v>5</v>
      </c>
      <c r="L141" s="26">
        <v>1</v>
      </c>
      <c r="M141" s="4" t="s">
        <v>0</v>
      </c>
      <c r="N141" s="2" t="s">
        <v>394</v>
      </c>
      <c r="O141" s="2" t="s">
        <v>17</v>
      </c>
      <c r="P141" s="8">
        <v>45020</v>
      </c>
      <c r="Q141" s="2"/>
      <c r="R141" s="2"/>
    </row>
    <row r="142" spans="1:18" ht="30" x14ac:dyDescent="0.25">
      <c r="A142" s="4" t="s">
        <v>97</v>
      </c>
      <c r="B142" s="39" t="s">
        <v>274</v>
      </c>
      <c r="C142" s="39" t="s">
        <v>110</v>
      </c>
      <c r="D142" s="4" t="s">
        <v>124</v>
      </c>
      <c r="E142" s="4" t="s">
        <v>408</v>
      </c>
      <c r="F142" s="45">
        <v>46112</v>
      </c>
      <c r="G142" s="40">
        <v>94.35</v>
      </c>
      <c r="H142" s="40">
        <v>72.55</v>
      </c>
      <c r="I142" s="40">
        <f t="shared" si="11"/>
        <v>166.89999999999998</v>
      </c>
      <c r="J142" s="4" t="s">
        <v>86</v>
      </c>
      <c r="K142" s="4" t="s">
        <v>5</v>
      </c>
      <c r="L142" s="26">
        <v>1</v>
      </c>
      <c r="M142" s="4" t="s">
        <v>0</v>
      </c>
      <c r="N142" s="2" t="s">
        <v>395</v>
      </c>
      <c r="O142" s="2" t="s">
        <v>17</v>
      </c>
      <c r="P142" s="8">
        <v>45994</v>
      </c>
      <c r="Q142" s="2"/>
      <c r="R142" s="2"/>
    </row>
    <row r="143" spans="1:18" ht="30" x14ac:dyDescent="0.25">
      <c r="A143" s="4" t="s">
        <v>90</v>
      </c>
      <c r="B143" s="39" t="s">
        <v>273</v>
      </c>
      <c r="C143" s="39" t="s">
        <v>111</v>
      </c>
      <c r="D143" s="4" t="s">
        <v>124</v>
      </c>
      <c r="E143" s="4" t="s">
        <v>127</v>
      </c>
      <c r="F143" s="45">
        <v>46845</v>
      </c>
      <c r="G143" s="40">
        <v>171.86</v>
      </c>
      <c r="H143" s="40">
        <v>93.93</v>
      </c>
      <c r="I143" s="40">
        <f t="shared" ref="I143:I153" si="12">G143+H143</f>
        <v>265.79000000000002</v>
      </c>
      <c r="J143" s="4" t="s">
        <v>86</v>
      </c>
      <c r="K143" s="4" t="s">
        <v>5</v>
      </c>
      <c r="L143" s="26">
        <v>1</v>
      </c>
      <c r="M143" s="4" t="s">
        <v>106</v>
      </c>
      <c r="N143" s="2" t="s">
        <v>396</v>
      </c>
      <c r="O143" s="2" t="s">
        <v>17</v>
      </c>
      <c r="P143" s="8">
        <v>43935</v>
      </c>
      <c r="Q143" s="2"/>
      <c r="R143" s="2"/>
    </row>
    <row r="144" spans="1:18" ht="30" x14ac:dyDescent="0.25">
      <c r="A144" s="4" t="s">
        <v>87</v>
      </c>
      <c r="B144" s="39" t="s">
        <v>273</v>
      </c>
      <c r="C144" s="39" t="s">
        <v>111</v>
      </c>
      <c r="D144" s="4" t="s">
        <v>124</v>
      </c>
      <c r="E144" s="4" t="s">
        <v>127</v>
      </c>
      <c r="F144" s="45">
        <v>46845</v>
      </c>
      <c r="G144" s="40">
        <v>164.3</v>
      </c>
      <c r="H144" s="40">
        <v>72.16</v>
      </c>
      <c r="I144" s="40">
        <f t="shared" si="12"/>
        <v>236.46</v>
      </c>
      <c r="J144" s="4" t="s">
        <v>86</v>
      </c>
      <c r="K144" s="4" t="s">
        <v>5</v>
      </c>
      <c r="L144" s="26">
        <v>1</v>
      </c>
      <c r="M144" s="4" t="s">
        <v>106</v>
      </c>
      <c r="N144" s="2" t="s">
        <v>397</v>
      </c>
      <c r="O144" s="2" t="s">
        <v>17</v>
      </c>
      <c r="P144" s="10">
        <v>42614</v>
      </c>
      <c r="Q144" s="4"/>
      <c r="R144" s="2"/>
    </row>
    <row r="145" spans="1:18" ht="30" x14ac:dyDescent="0.25">
      <c r="A145" s="4" t="s">
        <v>93</v>
      </c>
      <c r="B145" s="39" t="s">
        <v>273</v>
      </c>
      <c r="C145" s="39" t="s">
        <v>111</v>
      </c>
      <c r="D145" s="4" t="s">
        <v>124</v>
      </c>
      <c r="E145" s="4" t="s">
        <v>127</v>
      </c>
      <c r="F145" s="45">
        <v>46845</v>
      </c>
      <c r="G145" s="40">
        <v>217.08</v>
      </c>
      <c r="H145" s="40">
        <v>99.99</v>
      </c>
      <c r="I145" s="40">
        <f t="shared" si="12"/>
        <v>317.07</v>
      </c>
      <c r="J145" s="4" t="s">
        <v>86</v>
      </c>
      <c r="K145" s="4" t="s">
        <v>5</v>
      </c>
      <c r="L145" s="26">
        <v>1</v>
      </c>
      <c r="M145" s="4" t="s">
        <v>106</v>
      </c>
      <c r="N145" s="2" t="s">
        <v>320</v>
      </c>
      <c r="O145" s="2" t="s">
        <v>17</v>
      </c>
      <c r="P145" s="8">
        <v>42248</v>
      </c>
      <c r="Q145" s="4"/>
      <c r="R145" s="2"/>
    </row>
    <row r="146" spans="1:18" ht="30" x14ac:dyDescent="0.25">
      <c r="A146" s="4" t="s">
        <v>89</v>
      </c>
      <c r="B146" s="39" t="s">
        <v>273</v>
      </c>
      <c r="C146" s="39" t="s">
        <v>111</v>
      </c>
      <c r="D146" s="4" t="s">
        <v>124</v>
      </c>
      <c r="E146" s="4" t="s">
        <v>127</v>
      </c>
      <c r="F146" s="45">
        <v>46845</v>
      </c>
      <c r="G146" s="40">
        <v>217.08</v>
      </c>
      <c r="H146" s="40">
        <v>99.99</v>
      </c>
      <c r="I146" s="40">
        <f t="shared" si="12"/>
        <v>317.07</v>
      </c>
      <c r="J146" s="4" t="s">
        <v>86</v>
      </c>
      <c r="K146" s="4" t="s">
        <v>5</v>
      </c>
      <c r="L146" s="26">
        <v>1</v>
      </c>
      <c r="M146" s="4" t="s">
        <v>106</v>
      </c>
      <c r="N146" s="7" t="s">
        <v>290</v>
      </c>
      <c r="O146" s="2" t="s">
        <v>17</v>
      </c>
      <c r="P146" s="10">
        <v>43752</v>
      </c>
      <c r="Q146" s="4"/>
      <c r="R146" s="2"/>
    </row>
    <row r="147" spans="1:18" ht="30" x14ac:dyDescent="0.25">
      <c r="A147" s="4" t="s">
        <v>96</v>
      </c>
      <c r="B147" s="39" t="s">
        <v>273</v>
      </c>
      <c r="C147" s="39" t="s">
        <v>111</v>
      </c>
      <c r="D147" s="4" t="s">
        <v>124</v>
      </c>
      <c r="E147" s="4" t="s">
        <v>127</v>
      </c>
      <c r="F147" s="45">
        <v>46845</v>
      </c>
      <c r="G147" s="40">
        <v>217.08</v>
      </c>
      <c r="H147" s="40">
        <v>99.99</v>
      </c>
      <c r="I147" s="40">
        <f t="shared" si="12"/>
        <v>317.07</v>
      </c>
      <c r="J147" s="4" t="s">
        <v>86</v>
      </c>
      <c r="K147" s="4" t="s">
        <v>5</v>
      </c>
      <c r="L147" s="26">
        <v>1</v>
      </c>
      <c r="M147" s="4" t="s">
        <v>106</v>
      </c>
      <c r="N147" s="7" t="s">
        <v>398</v>
      </c>
      <c r="O147" s="2" t="s">
        <v>17</v>
      </c>
      <c r="P147" s="8">
        <v>45446</v>
      </c>
      <c r="Q147" s="2"/>
      <c r="R147" s="2"/>
    </row>
    <row r="148" spans="1:18" ht="30" x14ac:dyDescent="0.25">
      <c r="A148" s="4" t="s">
        <v>88</v>
      </c>
      <c r="B148" s="39" t="s">
        <v>273</v>
      </c>
      <c r="C148" s="39" t="s">
        <v>111</v>
      </c>
      <c r="D148" s="4" t="s">
        <v>124</v>
      </c>
      <c r="E148" s="4" t="s">
        <v>127</v>
      </c>
      <c r="F148" s="45">
        <v>46845</v>
      </c>
      <c r="G148" s="40">
        <v>171.86</v>
      </c>
      <c r="H148" s="40">
        <v>93.93</v>
      </c>
      <c r="I148" s="40">
        <f t="shared" si="12"/>
        <v>265.79000000000002</v>
      </c>
      <c r="J148" s="4" t="s">
        <v>86</v>
      </c>
      <c r="K148" s="4" t="s">
        <v>5</v>
      </c>
      <c r="L148" s="26">
        <v>1</v>
      </c>
      <c r="M148" s="4" t="s">
        <v>106</v>
      </c>
      <c r="N148" s="7" t="s">
        <v>361</v>
      </c>
      <c r="O148" s="2" t="s">
        <v>17</v>
      </c>
      <c r="P148" s="8">
        <v>44125</v>
      </c>
      <c r="Q148" s="2"/>
      <c r="R148" s="2"/>
    </row>
    <row r="149" spans="1:18" x14ac:dyDescent="0.25">
      <c r="A149" s="6" t="s">
        <v>179</v>
      </c>
      <c r="B149" s="39" t="s">
        <v>275</v>
      </c>
      <c r="C149" s="50" t="s">
        <v>111</v>
      </c>
      <c r="D149" s="6" t="s">
        <v>124</v>
      </c>
      <c r="E149" s="6" t="s">
        <v>127</v>
      </c>
      <c r="F149" s="46">
        <v>49774</v>
      </c>
      <c r="G149" s="41">
        <v>512.25</v>
      </c>
      <c r="H149" s="41">
        <v>153.58000000000001</v>
      </c>
      <c r="I149" s="41">
        <f t="shared" si="12"/>
        <v>665.83</v>
      </c>
      <c r="J149" s="6" t="s">
        <v>86</v>
      </c>
      <c r="K149" s="6" t="s">
        <v>5</v>
      </c>
      <c r="L149" s="22">
        <v>1</v>
      </c>
      <c r="M149" s="6" t="s">
        <v>106</v>
      </c>
      <c r="N149" s="2" t="s">
        <v>339</v>
      </c>
      <c r="O149" s="2" t="s">
        <v>17</v>
      </c>
      <c r="P149" s="8">
        <v>45978</v>
      </c>
      <c r="Q149" s="2"/>
      <c r="R149" s="2"/>
    </row>
    <row r="150" spans="1:18" x14ac:dyDescent="0.25">
      <c r="A150" s="6" t="s">
        <v>172</v>
      </c>
      <c r="B150" s="39" t="s">
        <v>275</v>
      </c>
      <c r="C150" s="50" t="s">
        <v>111</v>
      </c>
      <c r="D150" s="6" t="s">
        <v>124</v>
      </c>
      <c r="E150" s="6" t="s">
        <v>127</v>
      </c>
      <c r="F150" s="46">
        <v>49774</v>
      </c>
      <c r="G150" s="41">
        <v>446.71</v>
      </c>
      <c r="H150" s="41">
        <v>145.26</v>
      </c>
      <c r="I150" s="41">
        <f t="shared" si="12"/>
        <v>591.97</v>
      </c>
      <c r="J150" s="6" t="s">
        <v>86</v>
      </c>
      <c r="K150" s="6" t="s">
        <v>5</v>
      </c>
      <c r="L150" s="22">
        <v>1</v>
      </c>
      <c r="M150" s="6" t="s">
        <v>106</v>
      </c>
      <c r="N150" s="2" t="s">
        <v>358</v>
      </c>
      <c r="O150" s="2" t="s">
        <v>17</v>
      </c>
      <c r="P150" s="8">
        <v>45971</v>
      </c>
      <c r="Q150" s="2"/>
      <c r="R150" s="2"/>
    </row>
    <row r="151" spans="1:18" x14ac:dyDescent="0.25">
      <c r="A151" s="6" t="s">
        <v>173</v>
      </c>
      <c r="B151" s="39" t="s">
        <v>275</v>
      </c>
      <c r="C151" s="50" t="s">
        <v>111</v>
      </c>
      <c r="D151" s="6" t="s">
        <v>124</v>
      </c>
      <c r="E151" s="6" t="s">
        <v>127</v>
      </c>
      <c r="F151" s="46">
        <v>49774</v>
      </c>
      <c r="G151" s="41">
        <v>446.71</v>
      </c>
      <c r="H151" s="41">
        <v>145.26</v>
      </c>
      <c r="I151" s="41">
        <f t="shared" si="12"/>
        <v>591.97</v>
      </c>
      <c r="J151" s="6" t="s">
        <v>86</v>
      </c>
      <c r="K151" s="6" t="s">
        <v>5</v>
      </c>
      <c r="L151" s="22">
        <v>1</v>
      </c>
      <c r="M151" s="6" t="s">
        <v>106</v>
      </c>
      <c r="N151" s="2" t="s">
        <v>338</v>
      </c>
      <c r="O151" s="2" t="s">
        <v>17</v>
      </c>
      <c r="P151" s="8">
        <v>45971</v>
      </c>
      <c r="Q151" s="2"/>
      <c r="R151" s="2"/>
    </row>
    <row r="152" spans="1:18" x14ac:dyDescent="0.25">
      <c r="A152" s="6" t="s">
        <v>183</v>
      </c>
      <c r="B152" s="39" t="s">
        <v>275</v>
      </c>
      <c r="C152" s="50" t="s">
        <v>111</v>
      </c>
      <c r="D152" s="6" t="s">
        <v>124</v>
      </c>
      <c r="E152" s="6" t="s">
        <v>127</v>
      </c>
      <c r="F152" s="46">
        <v>49774</v>
      </c>
      <c r="G152" s="41">
        <v>446.71</v>
      </c>
      <c r="H152" s="41">
        <v>145.26</v>
      </c>
      <c r="I152" s="41">
        <f t="shared" si="12"/>
        <v>591.97</v>
      </c>
      <c r="J152" s="6" t="s">
        <v>86</v>
      </c>
      <c r="K152" s="6" t="s">
        <v>5</v>
      </c>
      <c r="L152" s="22">
        <v>1</v>
      </c>
      <c r="M152" s="6" t="s">
        <v>106</v>
      </c>
      <c r="N152" s="2" t="s">
        <v>308</v>
      </c>
      <c r="O152" s="2" t="s">
        <v>17</v>
      </c>
      <c r="P152" s="8">
        <v>46027</v>
      </c>
      <c r="Q152" s="2"/>
      <c r="R152" s="2"/>
    </row>
    <row r="153" spans="1:18" x14ac:dyDescent="0.25">
      <c r="A153" s="6" t="s">
        <v>174</v>
      </c>
      <c r="B153" s="39" t="s">
        <v>275</v>
      </c>
      <c r="C153" s="50" t="s">
        <v>111</v>
      </c>
      <c r="D153" s="6" t="s">
        <v>124</v>
      </c>
      <c r="E153" s="6" t="s">
        <v>127</v>
      </c>
      <c r="F153" s="46">
        <v>49774</v>
      </c>
      <c r="G153" s="41">
        <v>446.71</v>
      </c>
      <c r="H153" s="41">
        <v>145.26</v>
      </c>
      <c r="I153" s="41">
        <f t="shared" si="12"/>
        <v>591.97</v>
      </c>
      <c r="J153" s="6" t="s">
        <v>86</v>
      </c>
      <c r="K153" s="6" t="s">
        <v>5</v>
      </c>
      <c r="L153" s="22">
        <v>1</v>
      </c>
      <c r="M153" s="6" t="s">
        <v>106</v>
      </c>
      <c r="N153" s="2" t="s">
        <v>399</v>
      </c>
      <c r="O153" s="2" t="s">
        <v>17</v>
      </c>
      <c r="P153" s="8">
        <v>45971</v>
      </c>
      <c r="Q153" s="2"/>
      <c r="R153" s="2"/>
    </row>
    <row r="154" spans="1:18" ht="30" x14ac:dyDescent="0.25">
      <c r="A154" s="4" t="s">
        <v>99</v>
      </c>
      <c r="B154" s="39" t="s">
        <v>276</v>
      </c>
      <c r="C154" s="39" t="s">
        <v>111</v>
      </c>
      <c r="D154" s="4" t="s">
        <v>124</v>
      </c>
      <c r="E154" s="4" t="s">
        <v>127</v>
      </c>
      <c r="F154" s="45">
        <v>45608</v>
      </c>
      <c r="G154" s="40">
        <v>182.62</v>
      </c>
      <c r="H154" s="40">
        <v>83.99</v>
      </c>
      <c r="I154" s="40">
        <f t="shared" ref="I154:I163" si="13">G154+H154</f>
        <v>266.61</v>
      </c>
      <c r="J154" s="4" t="s">
        <v>98</v>
      </c>
      <c r="K154" s="4" t="s">
        <v>1</v>
      </c>
      <c r="L154" s="26">
        <v>1</v>
      </c>
      <c r="M154" s="4" t="s">
        <v>106</v>
      </c>
      <c r="N154" s="5" t="s">
        <v>380</v>
      </c>
      <c r="O154" s="2" t="s">
        <v>17</v>
      </c>
      <c r="P154" s="8">
        <v>43990</v>
      </c>
      <c r="Q154" s="2"/>
      <c r="R154" s="2"/>
    </row>
    <row r="155" spans="1:18" ht="30" x14ac:dyDescent="0.25">
      <c r="A155" s="4" t="s">
        <v>100</v>
      </c>
      <c r="B155" s="39" t="s">
        <v>277</v>
      </c>
      <c r="C155" s="39" t="s">
        <v>109</v>
      </c>
      <c r="D155" s="4" t="s">
        <v>125</v>
      </c>
      <c r="E155" s="4" t="s">
        <v>409</v>
      </c>
      <c r="F155" s="48" t="s">
        <v>131</v>
      </c>
      <c r="G155" s="40">
        <v>332.7</v>
      </c>
      <c r="H155" s="40">
        <v>267.37</v>
      </c>
      <c r="I155" s="40">
        <f t="shared" si="13"/>
        <v>600.06999999999994</v>
      </c>
      <c r="J155" s="4" t="s">
        <v>101</v>
      </c>
      <c r="K155" s="4" t="s">
        <v>1</v>
      </c>
      <c r="L155" s="26">
        <v>1</v>
      </c>
      <c r="M155" s="4" t="s">
        <v>106</v>
      </c>
      <c r="N155" s="2" t="s">
        <v>400</v>
      </c>
      <c r="O155" s="2" t="s">
        <v>17</v>
      </c>
      <c r="P155" s="10">
        <v>45468</v>
      </c>
      <c r="Q155" s="4"/>
      <c r="R155" s="2"/>
    </row>
    <row r="156" spans="1:18" ht="30" x14ac:dyDescent="0.25">
      <c r="A156" s="4" t="s">
        <v>139</v>
      </c>
      <c r="B156" s="39" t="s">
        <v>278</v>
      </c>
      <c r="C156" s="39" t="s">
        <v>109</v>
      </c>
      <c r="D156" s="4" t="s">
        <v>124</v>
      </c>
      <c r="E156" s="4" t="s">
        <v>408</v>
      </c>
      <c r="F156" s="45">
        <v>46725</v>
      </c>
      <c r="G156" s="40">
        <v>306.67</v>
      </c>
      <c r="H156" s="40">
        <v>103.82</v>
      </c>
      <c r="I156" s="40">
        <f t="shared" si="13"/>
        <v>410.49</v>
      </c>
      <c r="J156" s="4" t="s">
        <v>103</v>
      </c>
      <c r="K156" s="4" t="s">
        <v>1</v>
      </c>
      <c r="L156" s="26">
        <v>1</v>
      </c>
      <c r="M156" s="4" t="s">
        <v>106</v>
      </c>
      <c r="N156" s="2" t="s">
        <v>401</v>
      </c>
      <c r="O156" s="2" t="s">
        <v>17</v>
      </c>
      <c r="P156" s="8">
        <v>45355</v>
      </c>
      <c r="Q156" s="2"/>
      <c r="R156" s="2"/>
    </row>
    <row r="157" spans="1:18" ht="30" x14ac:dyDescent="0.25">
      <c r="A157" s="14" t="s">
        <v>119</v>
      </c>
      <c r="B157" s="39" t="s">
        <v>279</v>
      </c>
      <c r="C157" s="39" t="s">
        <v>109</v>
      </c>
      <c r="D157" s="4" t="s">
        <v>124</v>
      </c>
      <c r="E157" s="4" t="s">
        <v>408</v>
      </c>
      <c r="F157" s="45">
        <v>46039</v>
      </c>
      <c r="G157" s="40">
        <v>348.48999999999995</v>
      </c>
      <c r="H157" s="40">
        <v>108.08000000000001</v>
      </c>
      <c r="I157" s="40">
        <f t="shared" si="13"/>
        <v>456.56999999999994</v>
      </c>
      <c r="J157" s="4" t="s">
        <v>103</v>
      </c>
      <c r="K157" s="4" t="s">
        <v>1</v>
      </c>
      <c r="L157" s="21">
        <v>1</v>
      </c>
      <c r="M157" s="2" t="s">
        <v>106</v>
      </c>
      <c r="N157" s="7" t="s">
        <v>402</v>
      </c>
      <c r="O157" s="2" t="s">
        <v>17</v>
      </c>
      <c r="P157" s="8">
        <v>45674</v>
      </c>
      <c r="Q157" s="2"/>
      <c r="R157" s="2"/>
    </row>
    <row r="158" spans="1:18" ht="30" x14ac:dyDescent="0.25">
      <c r="A158" s="4" t="s">
        <v>104</v>
      </c>
      <c r="B158" s="39" t="s">
        <v>280</v>
      </c>
      <c r="C158" s="35" t="s">
        <v>109</v>
      </c>
      <c r="D158" s="35" t="s">
        <v>124</v>
      </c>
      <c r="E158" s="35" t="s">
        <v>408</v>
      </c>
      <c r="F158" s="36">
        <v>45869</v>
      </c>
      <c r="G158" s="54">
        <v>306.97000000000003</v>
      </c>
      <c r="H158" s="54">
        <v>102.18</v>
      </c>
      <c r="I158" s="54">
        <f t="shared" si="13"/>
        <v>409.15000000000003</v>
      </c>
      <c r="J158" s="55" t="s">
        <v>103</v>
      </c>
      <c r="K158" s="55" t="s">
        <v>1</v>
      </c>
      <c r="L158" s="56">
        <v>1</v>
      </c>
      <c r="M158" s="55" t="s">
        <v>106</v>
      </c>
      <c r="N158" s="57" t="s">
        <v>389</v>
      </c>
      <c r="O158" s="57" t="s">
        <v>17</v>
      </c>
      <c r="P158" s="58">
        <v>45335</v>
      </c>
      <c r="Q158" s="55"/>
      <c r="R158" s="57"/>
    </row>
    <row r="159" spans="1:18" ht="30" x14ac:dyDescent="0.25">
      <c r="A159" s="55" t="s">
        <v>102</v>
      </c>
      <c r="B159" s="39" t="s">
        <v>281</v>
      </c>
      <c r="C159" s="35" t="s">
        <v>109</v>
      </c>
      <c r="D159" s="55" t="s">
        <v>124</v>
      </c>
      <c r="E159" s="4" t="s">
        <v>408</v>
      </c>
      <c r="F159" s="32">
        <v>46513</v>
      </c>
      <c r="G159" s="40">
        <v>225.19</v>
      </c>
      <c r="H159" s="40">
        <v>58.49</v>
      </c>
      <c r="I159" s="40">
        <f t="shared" si="13"/>
        <v>283.68</v>
      </c>
      <c r="J159" s="4" t="s">
        <v>103</v>
      </c>
      <c r="K159" s="4" t="s">
        <v>1</v>
      </c>
      <c r="L159" s="26">
        <v>1</v>
      </c>
      <c r="M159" s="4" t="s">
        <v>106</v>
      </c>
      <c r="N159" s="2" t="s">
        <v>403</v>
      </c>
      <c r="O159" s="2" t="s">
        <v>17</v>
      </c>
      <c r="P159" s="10">
        <v>42310</v>
      </c>
      <c r="Q159" s="4"/>
      <c r="R159" s="2"/>
    </row>
    <row r="160" spans="1:18" x14ac:dyDescent="0.25">
      <c r="A160" s="6" t="s">
        <v>186</v>
      </c>
      <c r="B160" s="39" t="s">
        <v>282</v>
      </c>
      <c r="C160" s="6" t="s">
        <v>109</v>
      </c>
      <c r="D160" s="6" t="s">
        <v>124</v>
      </c>
      <c r="E160" s="6" t="s">
        <v>408</v>
      </c>
      <c r="F160" s="17">
        <v>48274</v>
      </c>
      <c r="G160" s="41">
        <v>322.92</v>
      </c>
      <c r="H160" s="41">
        <v>104.2</v>
      </c>
      <c r="I160" s="41">
        <f t="shared" si="13"/>
        <v>427.12</v>
      </c>
      <c r="J160" s="6" t="s">
        <v>103</v>
      </c>
      <c r="K160" s="6" t="s">
        <v>1</v>
      </c>
      <c r="L160" s="22">
        <v>1</v>
      </c>
      <c r="M160" s="6" t="s">
        <v>106</v>
      </c>
      <c r="N160" s="6" t="s">
        <v>404</v>
      </c>
      <c r="O160" s="2" t="s">
        <v>17</v>
      </c>
      <c r="P160" s="8">
        <v>46083</v>
      </c>
      <c r="Q160" s="2"/>
      <c r="R160" s="2"/>
    </row>
    <row r="161" spans="1:18" x14ac:dyDescent="0.25">
      <c r="A161" s="6" t="s">
        <v>195</v>
      </c>
      <c r="B161" s="39" t="s">
        <v>283</v>
      </c>
      <c r="C161" s="6" t="s">
        <v>109</v>
      </c>
      <c r="D161" s="6" t="s">
        <v>124</v>
      </c>
      <c r="E161" s="6" t="s">
        <v>127</v>
      </c>
      <c r="F161" s="17">
        <v>47593</v>
      </c>
      <c r="G161" s="18">
        <v>547.04999999999995</v>
      </c>
      <c r="H161" s="18">
        <v>140.15</v>
      </c>
      <c r="I161" s="18">
        <f t="shared" si="13"/>
        <v>687.19999999999993</v>
      </c>
      <c r="J161" s="6" t="s">
        <v>22</v>
      </c>
      <c r="K161" s="6" t="s">
        <v>1</v>
      </c>
      <c r="L161" s="22">
        <v>1</v>
      </c>
      <c r="M161" s="6" t="s">
        <v>106</v>
      </c>
      <c r="N161" s="6" t="s">
        <v>405</v>
      </c>
      <c r="O161" s="2" t="s">
        <v>17</v>
      </c>
      <c r="P161" s="8">
        <v>46132</v>
      </c>
      <c r="Q161" s="2"/>
      <c r="R161" s="2"/>
    </row>
    <row r="162" spans="1:18" x14ac:dyDescent="0.25">
      <c r="A162" s="34" t="s">
        <v>196</v>
      </c>
      <c r="B162" s="39" t="s">
        <v>230</v>
      </c>
      <c r="C162" s="34" t="s">
        <v>109</v>
      </c>
      <c r="D162" s="34" t="s">
        <v>124</v>
      </c>
      <c r="E162" s="34" t="s">
        <v>128</v>
      </c>
      <c r="F162" s="59">
        <v>46518</v>
      </c>
      <c r="G162" s="60">
        <v>326</v>
      </c>
      <c r="H162" s="60">
        <v>181.31</v>
      </c>
      <c r="I162" s="60">
        <f t="shared" si="13"/>
        <v>507.31</v>
      </c>
      <c r="J162" s="34" t="s">
        <v>197</v>
      </c>
      <c r="K162" s="34" t="s">
        <v>2</v>
      </c>
      <c r="L162" s="21">
        <v>1</v>
      </c>
      <c r="M162" s="34" t="s">
        <v>106</v>
      </c>
      <c r="N162" s="34" t="s">
        <v>406</v>
      </c>
      <c r="O162" s="2" t="s">
        <v>17</v>
      </c>
      <c r="P162" s="8">
        <v>46153</v>
      </c>
      <c r="Q162" s="2"/>
      <c r="R162" s="2"/>
    </row>
    <row r="163" spans="1:18" x14ac:dyDescent="0.25">
      <c r="A163" s="1" t="s">
        <v>198</v>
      </c>
      <c r="B163" s="39" t="s">
        <v>262</v>
      </c>
      <c r="C163" s="1" t="s">
        <v>110</v>
      </c>
      <c r="D163" s="1" t="s">
        <v>124</v>
      </c>
      <c r="E163" s="1" t="s">
        <v>127</v>
      </c>
      <c r="F163" s="61">
        <v>46160</v>
      </c>
      <c r="G163" s="16">
        <v>332.5</v>
      </c>
      <c r="H163" s="16">
        <v>133.07</v>
      </c>
      <c r="I163" s="60">
        <f t="shared" si="13"/>
        <v>465.57</v>
      </c>
      <c r="J163" s="1" t="s">
        <v>47</v>
      </c>
      <c r="K163" s="1" t="s">
        <v>5</v>
      </c>
      <c r="L163" s="25">
        <v>1</v>
      </c>
      <c r="M163" s="1" t="s">
        <v>0</v>
      </c>
      <c r="N163" s="1" t="s">
        <v>407</v>
      </c>
      <c r="O163" s="62" t="s">
        <v>17</v>
      </c>
      <c r="P163" s="9">
        <v>46160</v>
      </c>
    </row>
  </sheetData>
  <autoFilter ref="A1:R163" xr:uid="{05F11737-9D61-4B52-BDF7-06D3978FC181}">
    <sortState xmlns:xlrd2="http://schemas.microsoft.com/office/spreadsheetml/2017/richdata2" ref="A2:R160">
      <sortCondition ref="J1:J160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35C870CF2B541B535E2E3CE74DDA6" ma:contentTypeVersion="17" ma:contentTypeDescription="Create a new document." ma:contentTypeScope="" ma:versionID="d0b4146da1f49785af44e2d0c7c57e1b">
  <xsd:schema xmlns:xsd="http://www.w3.org/2001/XMLSchema" xmlns:xs="http://www.w3.org/2001/XMLSchema" xmlns:p="http://schemas.microsoft.com/office/2006/metadata/properties" xmlns:ns2="0c71dfbc-4df3-43ef-8b09-161ccb8ddf85" xmlns:ns3="a764fecb-1bdd-4450-b0f1-8365b062c59e" targetNamespace="http://schemas.microsoft.com/office/2006/metadata/properties" ma:root="true" ma:fieldsID="04a3aac3b91da584cc29bb3a2fceba5d" ns2:_="" ns3:_="">
    <xsd:import namespace="0c71dfbc-4df3-43ef-8b09-161ccb8ddf85"/>
    <xsd:import namespace="a764fecb-1bdd-4450-b0f1-8365b062c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1dfbc-4df3-43ef-8b09-161ccb8dd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c89f86-1bae-40dc-91a6-de2798b67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4fecb-1bdd-4450-b0f1-8365b062c5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641025-3483-46a7-82ca-fb27cfd01cdb}" ma:internalName="TaxCatchAll" ma:showField="CatchAllData" ma:web="a764fecb-1bdd-4450-b0f1-8365b062c5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64fecb-1bdd-4450-b0f1-8365b062c59e" xsi:nil="true"/>
    <lcf76f155ced4ddcb4097134ff3c332f xmlns="0c71dfbc-4df3-43ef-8b09-161ccb8ddf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0B4B29-5EA0-44B6-84B5-3B7E19899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71dfbc-4df3-43ef-8b09-161ccb8ddf85"/>
    <ds:schemaRef ds:uri="a764fecb-1bdd-4450-b0f1-8365b062c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67CC0-9AAE-45C0-A66B-4D2A498F1F8B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44c70fdd-35ae-48f0-9d70-8efb64874f29"/>
    <ds:schemaRef ds:uri="http://purl.org/dc/elements/1.1/"/>
    <ds:schemaRef ds:uri="980e14f2-9f75-4149-81b8-2e273cf34eda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764fecb-1bdd-4450-b0f1-8365b062c59e"/>
    <ds:schemaRef ds:uri="0c71dfbc-4df3-43ef-8b09-161ccb8ddf85"/>
  </ds:schemaRefs>
</ds:datastoreItem>
</file>

<file path=customXml/itemProps3.xml><?xml version="1.0" encoding="utf-8"?>
<ds:datastoreItem xmlns:ds="http://schemas.openxmlformats.org/officeDocument/2006/customXml" ds:itemID="{DEB0A2D4-F435-4786-BD7D-FD96D4A067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 Sheet</vt:lpstr>
    </vt:vector>
  </TitlesOfParts>
  <Manager/>
  <Company>Lets for Life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Bennett</dc:creator>
  <cp:keywords/>
  <dc:description/>
  <cp:lastModifiedBy>Amelia Cameron</cp:lastModifiedBy>
  <cp:revision/>
  <dcterms:created xsi:type="dcterms:W3CDTF">2024-01-05T15:23:07Z</dcterms:created>
  <dcterms:modified xsi:type="dcterms:W3CDTF">2026-07-21T14:48:36Z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0x010100CE035C870CF2B541B535E2E3CE74DDA6</vt:lpwstr>
  </property>
  <property fmtid="{D5CDD505-2E9C-101B-9397-08002B2CF9AE}" pid="3" name="MediaServiceImageTags">
    <vt:lpwstr/>
  </property>
</Properties>
</file>